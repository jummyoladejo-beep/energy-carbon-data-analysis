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mmie\Documents\Energy Manager Role\Illustrative Project\"/>
    </mc:Choice>
  </mc:AlternateContent>
  <xr:revisionPtr revIDLastSave="0" documentId="8_{C8DBFE3E-605D-41D5-82B6-7FC4C7D08100}" xr6:coauthVersionLast="47" xr6:coauthVersionMax="47" xr10:uidLastSave="{00000000-0000-0000-0000-000000000000}"/>
  <bookViews>
    <workbookView xWindow="-110" yWindow="-110" windowWidth="22780" windowHeight="14540" tabRatio="500" firstSheet="4" activeTab="4" xr2:uid="{00000000-000D-0000-FFFF-FFFF00000000}"/>
  </bookViews>
  <sheets>
    <sheet name="00_Client View" sheetId="1" r:id="rId1"/>
    <sheet name="01_Raw Data" sheetId="2" r:id="rId2"/>
    <sheet name="02_Clean Data" sheetId="3" r:id="rId3"/>
    <sheet name="03_Emission Factors" sheetId="4" r:id="rId4"/>
    <sheet name="04_Calculations" sheetId="5" r:id="rId5"/>
    <sheet name="05_KPIs" sheetId="6" r:id="rId6"/>
    <sheet name="06_Dashboard" sheetId="7" r:id="rId7"/>
    <sheet name="07_Client Input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5" l="1"/>
  <c r="H11" i="5"/>
  <c r="H12" i="5"/>
  <c r="H13" i="5"/>
  <c r="H2" i="5"/>
  <c r="H3" i="5"/>
  <c r="H4" i="5"/>
  <c r="H5" i="5"/>
  <c r="H6" i="5"/>
  <c r="H7" i="5"/>
  <c r="H9" i="5"/>
  <c r="H8" i="5"/>
  <c r="J30" i="7"/>
  <c r="J32" i="7"/>
  <c r="J31" i="7"/>
  <c r="F9" i="3"/>
  <c r="F8" i="3"/>
  <c r="B10" i="6"/>
  <c r="B2" i="6"/>
  <c r="B13" i="5"/>
  <c r="G13" i="5" s="1"/>
  <c r="A13" i="5"/>
  <c r="B12" i="5"/>
  <c r="G12" i="5" s="1"/>
  <c r="A12" i="5"/>
  <c r="A11" i="5"/>
  <c r="C10" i="5"/>
  <c r="B9" i="5"/>
  <c r="G9" i="5" s="1"/>
  <c r="A9" i="5"/>
  <c r="B8" i="5"/>
  <c r="G8" i="5" s="1"/>
  <c r="A8" i="5"/>
  <c r="A7" i="5"/>
  <c r="C6" i="5"/>
  <c r="B5" i="5"/>
  <c r="G5" i="5" s="1"/>
  <c r="A5" i="5"/>
  <c r="B4" i="5"/>
  <c r="G4" i="5" s="1"/>
  <c r="A4" i="5"/>
  <c r="A3" i="5"/>
  <c r="C2" i="5"/>
  <c r="E13" i="3"/>
  <c r="C13" i="5" s="1"/>
  <c r="E13" i="5" s="1"/>
  <c r="D13" i="3"/>
  <c r="C13" i="3"/>
  <c r="B13" i="3"/>
  <c r="D13" i="5" s="1"/>
  <c r="A13" i="3"/>
  <c r="F12" i="3"/>
  <c r="E12" i="3"/>
  <c r="C12" i="5" s="1"/>
  <c r="D12" i="3"/>
  <c r="C12" i="3"/>
  <c r="B12" i="3"/>
  <c r="D12" i="5" s="1"/>
  <c r="A12" i="3"/>
  <c r="E11" i="3"/>
  <c r="C11" i="5" s="1"/>
  <c r="D11" i="3"/>
  <c r="C11" i="3"/>
  <c r="B11" i="5" s="1"/>
  <c r="B11" i="3"/>
  <c r="D11" i="5" s="1"/>
  <c r="A11" i="3"/>
  <c r="E10" i="3"/>
  <c r="D10" i="3"/>
  <c r="C10" i="3"/>
  <c r="B10" i="3"/>
  <c r="F10" i="3" s="1"/>
  <c r="A10" i="3"/>
  <c r="A10" i="5" s="1"/>
  <c r="E9" i="3"/>
  <c r="C9" i="5" s="1"/>
  <c r="D9" i="3"/>
  <c r="C9" i="3"/>
  <c r="B9" i="3"/>
  <c r="D9" i="5" s="1"/>
  <c r="A9" i="3"/>
  <c r="E8" i="3"/>
  <c r="C8" i="5" s="1"/>
  <c r="D8" i="3"/>
  <c r="C8" i="3"/>
  <c r="B8" i="3"/>
  <c r="D8" i="5" s="1"/>
  <c r="A8" i="3"/>
  <c r="E7" i="3"/>
  <c r="C7" i="5" s="1"/>
  <c r="E7" i="5" s="1"/>
  <c r="D7" i="3"/>
  <c r="C7" i="3"/>
  <c r="B7" i="5" s="1"/>
  <c r="B7" i="3"/>
  <c r="D7" i="5" s="1"/>
  <c r="A7" i="3"/>
  <c r="E6" i="3"/>
  <c r="D6" i="3"/>
  <c r="C6" i="3"/>
  <c r="B6" i="3"/>
  <c r="F6" i="3" s="1"/>
  <c r="A6" i="3"/>
  <c r="A6" i="5" s="1"/>
  <c r="E5" i="3"/>
  <c r="C5" i="5" s="1"/>
  <c r="E5" i="5" s="1"/>
  <c r="D5" i="3"/>
  <c r="C5" i="3"/>
  <c r="B5" i="3"/>
  <c r="D5" i="5" s="1"/>
  <c r="A5" i="3"/>
  <c r="F4" i="3"/>
  <c r="E4" i="3"/>
  <c r="C4" i="5" s="1"/>
  <c r="E4" i="5" s="1"/>
  <c r="D4" i="3"/>
  <c r="C4" i="3"/>
  <c r="B4" i="3"/>
  <c r="D4" i="5" s="1"/>
  <c r="A4" i="3"/>
  <c r="E3" i="3"/>
  <c r="C3" i="5" s="1"/>
  <c r="D3" i="3"/>
  <c r="C3" i="3"/>
  <c r="B3" i="6" s="1"/>
  <c r="B3" i="3"/>
  <c r="D3" i="5" s="1"/>
  <c r="A3" i="3"/>
  <c r="E2" i="3"/>
  <c r="D2" i="3"/>
  <c r="C2" i="3"/>
  <c r="B9" i="6" s="1"/>
  <c r="B2" i="3"/>
  <c r="F2" i="3" s="1"/>
  <c r="A2" i="3"/>
  <c r="A2" i="5" s="1"/>
  <c r="G7" i="5" l="1"/>
  <c r="F7" i="5"/>
  <c r="E12" i="5"/>
  <c r="E3" i="5"/>
  <c r="E9" i="5"/>
  <c r="G11" i="5"/>
  <c r="F11" i="5"/>
  <c r="B4" i="6"/>
  <c r="E8" i="5"/>
  <c r="E11" i="5"/>
  <c r="E10" i="5"/>
  <c r="B2" i="5"/>
  <c r="B3" i="5"/>
  <c r="B6" i="5"/>
  <c r="B10" i="5"/>
  <c r="B11" i="6"/>
  <c r="F3" i="3"/>
  <c r="F7" i="3"/>
  <c r="J27" i="7" s="1"/>
  <c r="F11" i="3"/>
  <c r="D2" i="5"/>
  <c r="E2" i="5" s="1"/>
  <c r="D6" i="5"/>
  <c r="E6" i="5" s="1"/>
  <c r="D10" i="5"/>
  <c r="F4" i="5"/>
  <c r="F5" i="5"/>
  <c r="F8" i="5"/>
  <c r="F9" i="5"/>
  <c r="F12" i="5"/>
  <c r="F13" i="5"/>
  <c r="B8" i="6"/>
  <c r="F5" i="3"/>
  <c r="F13" i="3"/>
  <c r="B5" i="6" l="1"/>
  <c r="C5" i="7" s="1"/>
  <c r="G3" i="5"/>
  <c r="F3" i="5"/>
  <c r="G2" i="5"/>
  <c r="B7" i="6" s="1"/>
  <c r="G5" i="7" s="1"/>
  <c r="F2" i="5"/>
  <c r="G10" i="5"/>
  <c r="F10" i="5"/>
  <c r="B6" i="6"/>
  <c r="E5" i="7" s="1"/>
  <c r="A5" i="7"/>
  <c r="G6" i="5"/>
  <c r="F6" i="5"/>
</calcChain>
</file>

<file path=xl/sharedStrings.xml><?xml version="1.0" encoding="utf-8"?>
<sst xmlns="http://schemas.openxmlformats.org/spreadsheetml/2006/main" count="132" uniqueCount="115">
  <si>
    <t>University / Building Operations Analysis</t>
  </si>
  <si>
    <t>Purpose</t>
  </si>
  <si>
    <t>Demonstrate how fragmented sustainability data can become clean, transparent KPIs and management reporting.</t>
  </si>
  <si>
    <t>Key findings</t>
  </si>
  <si>
    <t>• Building energy follows a strong academic-calendar pattern: district heat swings 8.5x between January and July.</t>
  </si>
  <si>
    <t>• Area-based intensity (kWh/m²) is stable year-round and is the right KPI for month-to-month comparison.</t>
  </si>
  <si>
    <t>• The occupancy-normalised KPI (kWh/FTE) breaks down in July/August: near-zero occupancy inflates it 2-4x, masking rather than revealing a problem.</t>
  </si>
  <si>
    <t>• Next step: add building-level meters to separate baseload from occupancy-driven demand.</t>
  </si>
  <si>
    <t>Month</t>
  </si>
  <si>
    <t>Electricity (kWh)</t>
  </si>
  <si>
    <t>District heat (kWh)</t>
  </si>
  <si>
    <t>Occupied student FTE</t>
  </si>
  <si>
    <t>Fleet diesel (L)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</si>
  <si>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</si>
  <si>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</si>
  <si>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</si>
  <si>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</si>
  <si>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</si>
  <si>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</si>
  <si>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</si>
  <si>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</si>
  <si>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</si>
  <si>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</si>
  <si>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</si>
  <si>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</si>
  <si>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illustrative synthetic data (campus meters / occupancy records).</t>
  </si>
  <si>
    <t>Data-quality flag</t>
  </si>
  <si>
    <t>Clean Data is linked live to Raw Data. Flag column screens for missing values and low-occupancy months where FTE-normalised KPIs are unreliable.</t>
  </si>
  <si>
    <t>Activity</t>
  </si>
  <si>
    <t>Unit</t>
  </si>
  <si>
    <t>Illustrative factor</t>
  </si>
  <si>
    <t>Notes</t>
  </si>
  <si>
    <t>Electricity</t>
  </si>
  <si>
    <t>kgCO2e/kWh</t>
  </si>
  <si>
    <t>Illustrative Scope 2 screening factor</t>
  </si>
  <si>
    <t>District heat</t>
  </si>
  <si>
    <t>Fleet diesel</t>
  </si>
  <si>
    <t>kgCO2e/L</t>
  </si>
  <si>
    <t>Illustrative Scope 1 screening factor</t>
  </si>
  <si>
    <t>Building area</t>
  </si>
  <si>
    <t>m²</t>
  </si>
  <si>
    <t>Illustrative fixed denominator</t>
  </si>
  <si>
    <t>Important</t>
  </si>
  <si>
    <t>Replace illustrative factors with the agreed methodology/source factors for real client work.</t>
  </si>
  <si>
    <t>Building energy (kWh)</t>
  </si>
  <si>
    <t>Scope 1 fleet (tCO2e)</t>
  </si>
  <si>
    <t>Scope 2 building (tCO2e)</t>
  </si>
  <si>
    <t>Total (tCO2e)</t>
  </si>
  <si>
    <t>kWh/m²</t>
  </si>
  <si>
    <t>kWh/occupied FTE</t>
  </si>
  <si>
    <t>FTE KPI reliable?</t>
  </si>
  <si>
    <t>KPI</t>
  </si>
  <si>
    <t>Value</t>
  </si>
  <si>
    <t>Interpretation</t>
  </si>
  <si>
    <t>Annual electricity</t>
  </si>
  <si>
    <t>kWh</t>
  </si>
  <si>
    <t>Review baseload and major electrical loads.</t>
  </si>
  <si>
    <t>Annual district heat</t>
  </si>
  <si>
    <t>Strong seasonality; review controls/envelope.</t>
  </si>
  <si>
    <t>Building energy</t>
  </si>
  <si>
    <t>Electricity + district heat.</t>
  </si>
  <si>
    <t>Total annual emissions</t>
  </si>
  <si>
    <t>tCO2e</t>
  </si>
  <si>
    <t>Illustrative building + fleet screening.</t>
  </si>
  <si>
    <t>Building intensity</t>
  </si>
  <si>
    <t>Energy per occupied FTE (term-time avg)</t>
  </si>
  <si>
    <t>kWh/FTE-month</t>
  </si>
  <si>
    <t>Heating seasonal swing</t>
  </si>
  <si>
    <t>x (peak/trough)</t>
  </si>
  <si>
    <t>Ratio of highest to lowest district-heat month.</t>
  </si>
  <si>
    <t>Peak heating month</t>
  </si>
  <si>
    <t>month</t>
  </si>
  <si>
    <t>Highest district-heat demand month.</t>
  </si>
  <si>
    <t>Low-occupancy months flagged</t>
  </si>
  <si>
    <t>months</t>
  </si>
  <si>
    <t>Months where FTE-normalised KPIs are statistically unreliable (small denominator).</t>
  </si>
  <si>
    <t>Summer baseload (Jul/Aug avg electricity)</t>
  </si>
  <si>
    <t>BUILDING ENERGY (kWh)</t>
  </si>
  <si>
    <t>TOTAL ANNUAL EMISSIONS (tCO2e)</t>
  </si>
  <si>
    <t>BUILDING INTENSITY (kWh/m²)</t>
  </si>
  <si>
    <t>ENERGY / FTE, TERM-TIME (kWh)</t>
  </si>
  <si>
    <t>Data-quality flags</t>
  </si>
  <si>
    <t>Key insights</t>
  </si>
  <si>
    <t>Areas to investigate</t>
  </si>
  <si>
    <t>• Identify buildings with high baseload or heating intensity via sub-metering.</t>
  </si>
  <si>
    <t>• Review heating controls and schedules against the academic calendar.</t>
  </si>
  <si>
    <t>• Move from campus totals to meter/building-level analysis; use building-area KPI (not FTE) for any cross-month comparison.</t>
  </si>
  <si>
    <t>Input needed</t>
  </si>
  <si>
    <t>Example / format</t>
  </si>
  <si>
    <t>Why it matters</t>
  </si>
  <si>
    <t>Status</t>
  </si>
  <si>
    <t>Source files</t>
  </si>
  <si>
    <t>Excel/CSV/PDF bills/exports</t>
  </si>
  <si>
    <t>Traceability and reconciliation</t>
  </si>
  <si>
    <t>To be supplied</t>
  </si>
  <si>
    <t>Reporting period</t>
  </si>
  <si>
    <t>e.g. Jan–Dec 2026</t>
  </si>
  <si>
    <t>Defines analysis boundary</t>
  </si>
  <si>
    <t>Activity data</t>
  </si>
  <si>
    <t>Production, area, occupancy, travel etc.</t>
  </si>
  <si>
    <t>Enables intensity KPIs</t>
  </si>
  <si>
    <t>Methodology / factors</t>
  </si>
  <si>
    <t>Client or agreed methodology</t>
  </si>
  <si>
    <t>Makes calculations reproducible</t>
  </si>
  <si>
    <t>To be agreed</t>
  </si>
  <si>
    <t>Known exclusions</t>
  </si>
  <si>
    <t>Missing sites, months or activities</t>
  </si>
  <si>
    <t>Prevents misleading completeness claims</t>
  </si>
  <si>
    <t>• A genuine finding survives that correction: Jul/Aug electricity still averages ~99,500 kWh/month with the campus largely empty, a baseload worth investigating.</t>
  </si>
  <si>
    <t>ILLUSTRATIVE PORTFOLIO SAMPLE: synthetic data for demonstration</t>
  </si>
  <si>
    <t>Stable area-based operational KPI, usable year-round.</t>
  </si>
  <si>
    <t>Averaged over term-time months only, excludes the Jul/Aug distortion below.</t>
  </si>
  <si>
    <t>Electricity that persists with near-zero occupancy, a baseload/always-on signature.</t>
  </si>
  <si>
    <t>Illustrative management dashboard: synthetic data</t>
  </si>
  <si>
    <t>• Investigate the Jul/Aug baseload: what is drawing power with the campus nearly empty?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</si>
</sst>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666666"/>
      <name val="Arial"/>
      <charset val="1"/>
    </font>
    <font>
      <b/>
      <sz val="12"/>
      <color rgb="FF1F4E7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8"/>
      <color rgb="FF888888"/>
      <name val="Arial"/>
      <charset val="1"/>
    </font>
    <font>
      <b/>
      <sz val="10"/>
      <color rgb="FFC00000"/>
      <name val="Arial"/>
      <charset val="1"/>
    </font>
    <font>
      <i/>
      <sz val="9"/>
      <name val="Arial"/>
      <charset val="1"/>
    </font>
    <font>
      <sz val="9"/>
      <color rgb="FF666666"/>
      <name val="Arial"/>
      <charset val="1"/>
    </font>
    <font>
      <b/>
      <sz val="18"/>
      <color rgb="FF1F4E7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0" fontId="8" fillId="0" borderId="0" xfId="0" applyFont="1"/>
    <xf numFmtId="0" fontId="9" fillId="0" borderId="0" xfId="0" applyFont="1"/>
    <xf numFmtId="164" fontId="4" fillId="0" borderId="1" xfId="0" applyNumberFormat="1" applyFont="1" applyBorder="1"/>
    <xf numFmtId="2" fontId="4" fillId="0" borderId="1" xfId="0" applyNumberFormat="1" applyFont="1" applyBorder="1"/>
    <xf numFmtId="4" fontId="4" fillId="0" borderId="1" xfId="0" applyNumberFormat="1" applyFont="1" applyBorder="1"/>
    <xf numFmtId="0" fontId="10" fillId="3" borderId="1" xfId="0" applyFont="1" applyFill="1" applyBorder="1"/>
    <xf numFmtId="3" fontId="11" fillId="3" borderId="1" xfId="0" applyNumberFormat="1" applyFont="1" applyFill="1" applyBorder="1"/>
    <xf numFmtId="165" fontId="11" fillId="3" borderId="1" xfId="0" applyNumberFormat="1" applyFont="1" applyFill="1" applyBorder="1"/>
    <xf numFmtId="164" fontId="11" fillId="3" borderId="1" xfId="0" applyNumberFormat="1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4F81BD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electricity &amp; district heat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'02_Clean Data'!$B$1</c:f>
              <c:strCache>
                <c:ptCount val="1"/>
                <c:pt idx="0">
                  <c:v>Electricity (kWh)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'02_Clean Data'!$B$2:$B$13</c:f>
              <c:numCache>
                <c:formatCode>#,##0</c:formatCode>
                <c:ptCount val="12"/>
                <c:pt idx="0">
                  <c:v>142000</c:v>
                </c:pt>
                <c:pt idx="1">
                  <c:v>136000</c:v>
                </c:pt>
                <c:pt idx="2">
                  <c:v>128000</c:v>
                </c:pt>
                <c:pt idx="3">
                  <c:v>119000</c:v>
                </c:pt>
                <c:pt idx="4">
                  <c:v>112000</c:v>
                </c:pt>
                <c:pt idx="5">
                  <c:v>104000</c:v>
                </c:pt>
                <c:pt idx="6">
                  <c:v>98000</c:v>
                </c:pt>
                <c:pt idx="7">
                  <c:v>101000</c:v>
                </c:pt>
                <c:pt idx="8">
                  <c:v>116000</c:v>
                </c:pt>
                <c:pt idx="9">
                  <c:v>125000</c:v>
                </c:pt>
                <c:pt idx="10">
                  <c:v>134000</c:v>
                </c:pt>
                <c:pt idx="11">
                  <c:v>149000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F-4B84-8B26-C84D327E3CC3}"/>
            </c:ext>
          </c:extLst>
        </c:ser>
        <c:ser>
          <c:idx val="1"/>
          <c:order val="1"/>
          <c:tx>
            <c:strRef>
              <c:f>'02_Clean Data'!$C$1</c:f>
              <c:strCache>
                <c:ptCount val="1"/>
                <c:pt idx="0">
                  <c:v>District heat (kWh)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circle"/>
            <c:size val="5"/>
            <c:spPr>
              <a:solidFill>
                <a:srgbClr val="BE4B4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'02_Clean Data'!$C$2:$C$13</c:f>
              <c:numCache>
                <c:formatCode>#,##0</c:formatCode>
                <c:ptCount val="12"/>
                <c:pt idx="0">
                  <c:v>98000</c:v>
                </c:pt>
                <c:pt idx="1">
                  <c:v>91000</c:v>
                </c:pt>
                <c:pt idx="2">
                  <c:v>78000</c:v>
                </c:pt>
                <c:pt idx="3">
                  <c:v>52000</c:v>
                </c:pt>
                <c:pt idx="4">
                  <c:v>34000</c:v>
                </c:pt>
                <c:pt idx="5">
                  <c:v>18000</c:v>
                </c:pt>
                <c:pt idx="6">
                  <c:v>12000</c:v>
                </c:pt>
                <c:pt idx="7">
                  <c:v>15000</c:v>
                </c:pt>
                <c:pt idx="8">
                  <c:v>39000</c:v>
                </c:pt>
                <c:pt idx="9">
                  <c:v>61000</c:v>
                </c:pt>
                <c:pt idx="10">
                  <c:v>82000</c:v>
                </c:pt>
                <c:pt idx="11">
                  <c:v>102000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6F-4B84-8B26-C84D327E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548225"/>
        <c:axId val="53925948"/>
      </c:lineChart>
      <c:catAx>
        <c:axId val="38548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25948"/>
        <c:crosses val="autoZero"/>
        <c:auto val="1"/>
        <c:lblAlgn val="ctr"/>
        <c:lblOffset val="100"/>
        <c:noMultiLvlLbl val="0"/>
      </c:catAx>
      <c:valAx>
        <c:axId val="53925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548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Scope 1 fleet vs Scope 2 building emissions (tCO2e)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'04_Calculations'!$C$1</c:f>
              <c:strCache>
                <c:ptCount val="1"/>
                <c:pt idx="0">
                  <c:v>Scope 1 fleet (tCO2e)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'04_Calculations'!$C$2:$C$13</c:f>
              <c:numCache>
                <c:formatCode>0.0</c:formatCode>
                <c:ptCount val="12"/>
                <c:pt idx="0">
                  <c:v>5.6280000000000001</c:v>
                </c:pt>
                <c:pt idx="1">
                  <c:v>5.0919999999999996</c:v>
                </c:pt>
                <c:pt idx="2">
                  <c:v>5.4939999999999998</c:v>
                </c:pt>
                <c:pt idx="3">
                  <c:v>4.8239999999999998</c:v>
                </c:pt>
                <c:pt idx="4">
                  <c:v>4.556</c:v>
                </c:pt>
                <c:pt idx="5">
                  <c:v>4.0200000000000005</c:v>
                </c:pt>
                <c:pt idx="6">
                  <c:v>2.4119999999999999</c:v>
                </c:pt>
                <c:pt idx="7">
                  <c:v>2.278</c:v>
                </c:pt>
                <c:pt idx="8">
                  <c:v>4.2880000000000003</c:v>
                </c:pt>
                <c:pt idx="9">
                  <c:v>4.6900000000000004</c:v>
                </c:pt>
                <c:pt idx="10">
                  <c:v>5.0919999999999996</c:v>
                </c:pt>
                <c:pt idx="11">
                  <c:v>5.8959999999999999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3-49ED-BA94-E7DDF4129941}"/>
            </c:ext>
          </c:extLst>
        </c:ser>
        <c:ser>
          <c:idx val="1"/>
          <c:order val="1"/>
          <c:tx>
            <c:strRef>
              <c:f>'04_Calculations'!$D$1</c:f>
              <c:strCache>
                <c:ptCount val="1"/>
                <c:pt idx="0">
                  <c:v>Scope 2 building (tCO2e)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'04_Calculations'!$D$2:$D$13</c:f>
              <c:numCache>
                <c:formatCode>0.0</c:formatCode>
                <c:ptCount val="12"/>
                <c:pt idx="0">
                  <c:v>71.260000000000005</c:v>
                </c:pt>
                <c:pt idx="1">
                  <c:v>67.62</c:v>
                </c:pt>
                <c:pt idx="2">
                  <c:v>61.96</c:v>
                </c:pt>
                <c:pt idx="3">
                  <c:v>53.09</c:v>
                </c:pt>
                <c:pt idx="4">
                  <c:v>46.68</c:v>
                </c:pt>
                <c:pt idx="5">
                  <c:v>40.36</c:v>
                </c:pt>
                <c:pt idx="6">
                  <c:v>36.94</c:v>
                </c:pt>
                <c:pt idx="7">
                  <c:v>38.65</c:v>
                </c:pt>
                <c:pt idx="8">
                  <c:v>49.18</c:v>
                </c:pt>
                <c:pt idx="9">
                  <c:v>57.17</c:v>
                </c:pt>
                <c:pt idx="10">
                  <c:v>64.94</c:v>
                </c:pt>
                <c:pt idx="11">
                  <c:v>74.59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3-49ED-BA94-E7DDF4129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511011"/>
        <c:axId val="44917497"/>
      </c:barChart>
      <c:catAx>
        <c:axId val="375110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17497"/>
        <c:crosses val="autoZero"/>
        <c:auto val="1"/>
        <c:lblAlgn val="ctr"/>
        <c:lblOffset val="100"/>
        <c:noMultiLvlLbl val="0"/>
      </c:catAx>
      <c:valAx>
        <c:axId val="449174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tCO2e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11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kWh per occupied FTE (flags Jul/Aug distortion)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'04_Calculations'!$G$1</c:f>
              <c:strCache>
                <c:ptCount val="1"/>
                <c:pt idx="0">
                  <c:v>kWh/occupied FTE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'02_Clean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'04_Calculations'!$G$2:$G$13</c:f>
              <c:numCache>
                <c:formatCode>0.0</c:formatCode>
                <c:ptCount val="12"/>
                <c:pt idx="0">
                  <c:v>57.142857142857146</c:v>
                </c:pt>
                <c:pt idx="1">
                  <c:v>54.047619047619051</c:v>
                </c:pt>
                <c:pt idx="2">
                  <c:v>50.243902439024389</c:v>
                </c:pt>
                <c:pt idx="3">
                  <c:v>43.846153846153847</c:v>
                </c:pt>
                <c:pt idx="4">
                  <c:v>41.714285714285715</c:v>
                </c:pt>
                <c:pt idx="5">
                  <c:v>48.8</c:v>
                </c:pt>
                <c:pt idx="6">
                  <c:v>137.5</c:v>
                </c:pt>
                <c:pt idx="7">
                  <c:v>193.33333333333334</c:v>
                </c:pt>
                <c:pt idx="8">
                  <c:v>55.357142857142854</c:v>
                </c:pt>
                <c:pt idx="9">
                  <c:v>48.94736842105263</c:v>
                </c:pt>
                <c:pt idx="10">
                  <c:v>52.68292682926829</c:v>
                </c:pt>
                <c:pt idx="11">
                  <c:v>58.372093023255815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7-4857-B193-74C7FA585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166022"/>
        <c:axId val="91540728"/>
      </c:lineChart>
      <c:catAx>
        <c:axId val="26166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40728"/>
        <c:crosses val="autoZero"/>
        <c:auto val="1"/>
        <c:lblAlgn val="ctr"/>
        <c:lblOffset val="100"/>
        <c:noMultiLvlLbl val="0"/>
      </c:catAx>
      <c:valAx>
        <c:axId val="91540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kWh/FTE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166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41040</xdr:rowOff>
    </xdr:from>
    <xdr:to>
      <xdr:col>5</xdr:col>
      <xdr:colOff>840960</xdr:colOff>
      <xdr:row>22</xdr:row>
      <xdr:rowOff>63360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229306</xdr:colOff>
      <xdr:row>4</xdr:row>
      <xdr:rowOff>273404</xdr:rowOff>
    </xdr:from>
    <xdr:to>
      <xdr:col>18</xdr:col>
      <xdr:colOff>36721</xdr:colOff>
      <xdr:row>22</xdr:row>
      <xdr:rowOff>63361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388055</xdr:colOff>
      <xdr:row>21</xdr:row>
      <xdr:rowOff>41040</xdr:rowOff>
    </xdr:from>
    <xdr:to>
      <xdr:col>6</xdr:col>
      <xdr:colOff>108945</xdr:colOff>
      <xdr:row>32</xdr:row>
      <xdr:rowOff>119700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selection activeCell="A3" sqref="A3"/>
    </sheetView>
  </sheetViews>
  <sheetFormatPr defaultColWidth="8.6328125" defaultRowHeight="14.5" x14ac:dyDescent="0.35"/>
  <cols>
    <col min="1" max="1" width="14" customWidth="1"/>
    <col min="2" max="3" width="20" customWidth="1"/>
    <col min="4" max="7" width="14" customWidth="1"/>
    <col min="8" max="8" width="27.6328125" customWidth="1"/>
  </cols>
  <sheetData>
    <row r="1" spans="1:8" ht="20" x14ac:dyDescent="0.4">
      <c r="A1" s="3" t="s">
        <v>0</v>
      </c>
    </row>
    <row r="2" spans="1:8" x14ac:dyDescent="0.35">
      <c r="A2" s="4" t="s">
        <v>109</v>
      </c>
    </row>
    <row r="4" spans="1:8" ht="15.5" x14ac:dyDescent="0.35">
      <c r="A4" s="5" t="s">
        <v>1</v>
      </c>
      <c r="B4" s="6" t="s">
        <v>2</v>
      </c>
    </row>
    <row r="6" spans="1:8" ht="15.5" x14ac:dyDescent="0.35">
      <c r="A6" s="5" t="s">
        <v>3</v>
      </c>
    </row>
    <row r="7" spans="1:8" ht="27.75" customHeight="1" x14ac:dyDescent="0.35">
      <c r="A7" s="1" t="s">
        <v>4</v>
      </c>
      <c r="B7" s="1"/>
      <c r="C7" s="1"/>
      <c r="D7" s="1"/>
      <c r="E7" s="1"/>
      <c r="F7" s="1"/>
      <c r="G7" s="1"/>
      <c r="H7" s="1"/>
    </row>
    <row r="8" spans="1:8" ht="27.75" customHeight="1" x14ac:dyDescent="0.35">
      <c r="A8" s="1" t="s">
        <v>5</v>
      </c>
      <c r="B8" s="1"/>
      <c r="C8" s="1"/>
      <c r="D8" s="1"/>
      <c r="E8" s="1"/>
      <c r="F8" s="1"/>
      <c r="G8" s="1"/>
      <c r="H8" s="1"/>
    </row>
    <row r="9" spans="1:8" ht="27.75" customHeight="1" x14ac:dyDescent="0.35">
      <c r="A9" s="1" t="s">
        <v>6</v>
      </c>
      <c r="B9" s="1"/>
      <c r="C9" s="1"/>
      <c r="D9" s="1"/>
      <c r="E9" s="1"/>
      <c r="F9" s="1"/>
      <c r="G9" s="1"/>
      <c r="H9" s="1"/>
    </row>
    <row r="10" spans="1:8" ht="27.75" customHeight="1" x14ac:dyDescent="0.35">
      <c r="A10" s="1" t="s">
        <v>108</v>
      </c>
      <c r="B10" s="1"/>
      <c r="C10" s="1"/>
      <c r="D10" s="1"/>
      <c r="E10" s="1"/>
      <c r="F10" s="1"/>
      <c r="G10" s="1"/>
      <c r="H10" s="1"/>
    </row>
    <row r="11" spans="1:8" ht="27.75" customHeight="1" x14ac:dyDescent="0.35">
      <c r="A11" s="1" t="s">
        <v>7</v>
      </c>
      <c r="B11" s="1"/>
      <c r="C11" s="1"/>
      <c r="D11" s="1"/>
      <c r="E11" s="1"/>
      <c r="F11" s="1"/>
      <c r="G11" s="1"/>
      <c r="H11" s="1"/>
    </row>
  </sheetData>
  <mergeCells count="5">
    <mergeCell ref="A7:H7"/>
    <mergeCell ref="A8:H8"/>
    <mergeCell ref="A9:H9"/>
    <mergeCell ref="A10:H10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Normal="100" workbookViewId="0"/>
  </sheetViews>
  <sheetFormatPr defaultColWidth="8.6328125" defaultRowHeight="14.5" x14ac:dyDescent="0.35"/>
  <cols>
    <col min="1" max="1" width="10" customWidth="1"/>
    <col min="2" max="4" width="20" customWidth="1"/>
    <col min="5" max="5" width="18" customWidth="1"/>
  </cols>
  <sheetData>
    <row r="1" spans="1:5" ht="26" x14ac:dyDescent="0.3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</row>
    <row r="2" spans="1:5" x14ac:dyDescent="0.35">
      <c r="A2" s="8" t="s">
        <v>13</v>
      </c>
      <c r="B2" s="8">
        <v>142000</v>
      </c>
      <c r="C2" s="8">
        <v>98000</v>
      </c>
      <c r="D2" s="8">
        <v>4200</v>
      </c>
      <c r="E2" s="8">
        <v>2100</v>
      </c>
    </row>
    <row r="3" spans="1:5" x14ac:dyDescent="0.35">
      <c r="A3" s="8" t="s">
        <v>14</v>
      </c>
      <c r="B3" s="8">
        <v>136000</v>
      </c>
      <c r="C3" s="8">
        <v>91000</v>
      </c>
      <c r="D3" s="8">
        <v>4200</v>
      </c>
      <c r="E3" s="8">
        <v>1900</v>
      </c>
    </row>
    <row r="4" spans="1:5" x14ac:dyDescent="0.35">
      <c r="A4" s="8" t="s">
        <v>15</v>
      </c>
      <c r="B4" s="8">
        <v>128000</v>
      </c>
      <c r="C4" s="8">
        <v>78000</v>
      </c>
      <c r="D4" s="8">
        <v>4100</v>
      </c>
      <c r="E4" s="8">
        <v>2050</v>
      </c>
    </row>
    <row r="5" spans="1:5" x14ac:dyDescent="0.35">
      <c r="A5" s="8" t="s">
        <v>16</v>
      </c>
      <c r="B5" s="8">
        <v>119000</v>
      </c>
      <c r="C5" s="8">
        <v>52000</v>
      </c>
      <c r="D5" s="8">
        <v>3900</v>
      </c>
      <c r="E5" s="8">
        <v>1800</v>
      </c>
    </row>
    <row r="6" spans="1:5" x14ac:dyDescent="0.35">
      <c r="A6" s="8" t="s">
        <v>17</v>
      </c>
      <c r="B6" s="8">
        <v>112000</v>
      </c>
      <c r="C6" s="8">
        <v>34000</v>
      </c>
      <c r="D6" s="8">
        <v>3500</v>
      </c>
      <c r="E6" s="8">
        <v>1700</v>
      </c>
    </row>
    <row r="7" spans="1:5" x14ac:dyDescent="0.35">
      <c r="A7" s="8" t="s">
        <v>18</v>
      </c>
      <c r="B7" s="8">
        <v>104000</v>
      </c>
      <c r="C7" s="8">
        <v>18000</v>
      </c>
      <c r="D7" s="8">
        <v>2500</v>
      </c>
      <c r="E7" s="8">
        <v>1500</v>
      </c>
    </row>
    <row r="8" spans="1:5" x14ac:dyDescent="0.35">
      <c r="A8" s="8" t="s">
        <v>19</v>
      </c>
      <c r="B8" s="8">
        <v>98000</v>
      </c>
      <c r="C8" s="8">
        <v>12000</v>
      </c>
      <c r="D8" s="8">
        <v>800</v>
      </c>
      <c r="E8" s="8">
        <v>900</v>
      </c>
    </row>
    <row r="9" spans="1:5" x14ac:dyDescent="0.35">
      <c r="A9" s="8" t="s">
        <v>20</v>
      </c>
      <c r="B9" s="8">
        <v>101000</v>
      </c>
      <c r="C9" s="8">
        <v>15000</v>
      </c>
      <c r="D9" s="8">
        <v>600</v>
      </c>
      <c r="E9" s="8">
        <v>850</v>
      </c>
    </row>
    <row r="10" spans="1:5" x14ac:dyDescent="0.35">
      <c r="A10" s="8" t="s">
        <v>21</v>
      </c>
      <c r="B10" s="8">
        <v>116000</v>
      </c>
      <c r="C10" s="8">
        <v>39000</v>
      </c>
      <c r="D10" s="8">
        <v>2800</v>
      </c>
      <c r="E10" s="8">
        <v>1600</v>
      </c>
    </row>
    <row r="11" spans="1:5" x14ac:dyDescent="0.35">
      <c r="A11" s="8" t="s">
        <v>22</v>
      </c>
      <c r="B11" s="8">
        <v>125000</v>
      </c>
      <c r="C11" s="8">
        <v>61000</v>
      </c>
      <c r="D11" s="8">
        <v>3800</v>
      </c>
      <c r="E11" s="8">
        <v>1750</v>
      </c>
    </row>
    <row r="12" spans="1:5" x14ac:dyDescent="0.35">
      <c r="A12" s="8" t="s">
        <v>23</v>
      </c>
      <c r="B12" s="8">
        <v>134000</v>
      </c>
      <c r="C12" s="8">
        <v>82000</v>
      </c>
      <c r="D12" s="8">
        <v>4100</v>
      </c>
      <c r="E12" s="8">
        <v>1900</v>
      </c>
    </row>
    <row r="13" spans="1:5" x14ac:dyDescent="0.35">
      <c r="A13" s="8" t="s">
        <v>24</v>
      </c>
      <c r="B13" s="8">
        <v>149000</v>
      </c>
      <c r="C13" s="8">
        <v>102000</v>
      </c>
      <c r="D13" s="8">
        <v>4300</v>
      </c>
      <c r="E13" s="8">
        <v>2200</v>
      </c>
    </row>
    <row r="15" spans="1:5" x14ac:dyDescent="0.35">
      <c r="A15" s="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Normal="100" workbookViewId="0">
      <selection activeCell="F10" sqref="F10"/>
    </sheetView>
  </sheetViews>
  <sheetFormatPr defaultColWidth="8.6328125" defaultRowHeight="14.5" x14ac:dyDescent="0.35"/>
  <cols>
    <col min="1" max="1" width="10" customWidth="1"/>
    <col min="2" max="4" width="20" customWidth="1"/>
    <col min="5" max="5" width="18" customWidth="1"/>
    <col min="6" max="6" width="42" customWidth="1"/>
  </cols>
  <sheetData>
    <row r="1" spans="1:6" ht="26" x14ac:dyDescent="0.35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26</v>
      </c>
    </row>
    <row r="2" spans="1:6" x14ac:dyDescent="0.35">
      <c r="A2" s="10" t="str">
        <f>'01_Raw Data'!A2</f>
        <v>Jan</v>
      </c>
      <c r="B2" s="11">
        <f>'01_Raw Data'!B2</f>
        <v>142000</v>
      </c>
      <c r="C2" s="11">
        <f>'01_Raw Data'!C2</f>
        <v>98000</v>
      </c>
      <c r="D2" s="11">
        <f>'01_Raw Data'!D2</f>
        <v>4200</v>
      </c>
      <c r="E2" s="11">
        <f>'01_Raw Data'!E2</f>
        <v>2100</v>
      </c>
      <c r="F2" s="10" t="str">
        <f t="shared" ref="F2:F13" si="0">IF(D2&lt;1000,"Low occupancy — do not use FTE-normalised KPI this month",IF(OR(B2&lt;=0,C2&lt;=0),"Missing/zero value","OK"))</f>
        <v>OK</v>
      </c>
    </row>
    <row r="3" spans="1:6" x14ac:dyDescent="0.35">
      <c r="A3" s="10" t="str">
        <f>'01_Raw Data'!A3</f>
        <v>Feb</v>
      </c>
      <c r="B3" s="11">
        <f>'01_Raw Data'!B3</f>
        <v>136000</v>
      </c>
      <c r="C3" s="11">
        <f>'01_Raw Data'!C3</f>
        <v>91000</v>
      </c>
      <c r="D3" s="11">
        <f>'01_Raw Data'!D3</f>
        <v>4200</v>
      </c>
      <c r="E3" s="11">
        <f>'01_Raw Data'!E3</f>
        <v>1900</v>
      </c>
      <c r="F3" s="10" t="str">
        <f t="shared" si="0"/>
        <v>OK</v>
      </c>
    </row>
    <row r="4" spans="1:6" x14ac:dyDescent="0.35">
      <c r="A4" s="10" t="str">
        <f>'01_Raw Data'!A4</f>
        <v>Mar</v>
      </c>
      <c r="B4" s="11">
        <f>'01_Raw Data'!B4</f>
        <v>128000</v>
      </c>
      <c r="C4" s="11">
        <f>'01_Raw Data'!C4</f>
        <v>78000</v>
      </c>
      <c r="D4" s="11">
        <f>'01_Raw Data'!D4</f>
        <v>4100</v>
      </c>
      <c r="E4" s="11">
        <f>'01_Raw Data'!E4</f>
        <v>2050</v>
      </c>
      <c r="F4" s="10" t="str">
        <f t="shared" si="0"/>
        <v>OK</v>
      </c>
    </row>
    <row r="5" spans="1:6" x14ac:dyDescent="0.35">
      <c r="A5" s="10" t="str">
        <f>'01_Raw Data'!A5</f>
        <v>Apr</v>
      </c>
      <c r="B5" s="11">
        <f>'01_Raw Data'!B5</f>
        <v>119000</v>
      </c>
      <c r="C5" s="11">
        <f>'01_Raw Data'!C5</f>
        <v>52000</v>
      </c>
      <c r="D5" s="11">
        <f>'01_Raw Data'!D5</f>
        <v>3900</v>
      </c>
      <c r="E5" s="11">
        <f>'01_Raw Data'!E5</f>
        <v>1800</v>
      </c>
      <c r="F5" s="10" t="str">
        <f t="shared" si="0"/>
        <v>OK</v>
      </c>
    </row>
    <row r="6" spans="1:6" x14ac:dyDescent="0.35">
      <c r="A6" s="10" t="str">
        <f>'01_Raw Data'!A6</f>
        <v>May</v>
      </c>
      <c r="B6" s="11">
        <f>'01_Raw Data'!B6</f>
        <v>112000</v>
      </c>
      <c r="C6" s="11">
        <f>'01_Raw Data'!C6</f>
        <v>34000</v>
      </c>
      <c r="D6" s="11">
        <f>'01_Raw Data'!D6</f>
        <v>3500</v>
      </c>
      <c r="E6" s="11">
        <f>'01_Raw Data'!E6</f>
        <v>1700</v>
      </c>
      <c r="F6" s="10" t="str">
        <f t="shared" si="0"/>
        <v>OK</v>
      </c>
    </row>
    <row r="7" spans="1:6" x14ac:dyDescent="0.35">
      <c r="A7" s="10" t="str">
        <f>'01_Raw Data'!A7</f>
        <v>Jun</v>
      </c>
      <c r="B7" s="11">
        <f>'01_Raw Data'!B7</f>
        <v>104000</v>
      </c>
      <c r="C7" s="11">
        <f>'01_Raw Data'!C7</f>
        <v>18000</v>
      </c>
      <c r="D7" s="11">
        <f>'01_Raw Data'!D7</f>
        <v>2500</v>
      </c>
      <c r="E7" s="11">
        <f>'01_Raw Data'!E7</f>
        <v>1500</v>
      </c>
      <c r="F7" s="10" t="str">
        <f t="shared" si="0"/>
        <v>OK</v>
      </c>
    </row>
    <row r="8" spans="1:6" x14ac:dyDescent="0.35">
      <c r="A8" s="10" t="str">
        <f>'01_Raw Data'!A8</f>
        <v>Jul</v>
      </c>
      <c r="B8" s="11">
        <f>'01_Raw Data'!B8</f>
        <v>98000</v>
      </c>
      <c r="C8" s="11">
        <f>'01_Raw Data'!C8</f>
        <v>12000</v>
      </c>
      <c r="D8" s="11">
        <f>'01_Raw Data'!D8</f>
        <v>800</v>
      </c>
      <c r="E8" s="11">
        <f>'01_Raw Data'!E8</f>
        <v>900</v>
      </c>
      <c r="F8" s="10" t="str">
        <f>IF(D8&lt;1000,"Low occupancy, do not use FTE-normalised KPI this month",IF(OR(B8&lt;=0,C8&lt;=0),"Missing/zero value","OK"))</f>
        <v>Low occupancy, do not use FTE-normalised KPI this month</v>
      </c>
    </row>
    <row r="9" spans="1:6" x14ac:dyDescent="0.35">
      <c r="A9" s="10" t="str">
        <f>'01_Raw Data'!A9</f>
        <v>Aug</v>
      </c>
      <c r="B9" s="11">
        <f>'01_Raw Data'!B9</f>
        <v>101000</v>
      </c>
      <c r="C9" s="11">
        <f>'01_Raw Data'!C9</f>
        <v>15000</v>
      </c>
      <c r="D9" s="11">
        <f>'01_Raw Data'!D9</f>
        <v>600</v>
      </c>
      <c r="E9" s="11">
        <f>'01_Raw Data'!E9</f>
        <v>850</v>
      </c>
      <c r="F9" s="10" t="str">
        <f>IF(D9&lt;1000,"Low occupancy, do not use FTE-normalised KPI this month",IF(OR(B9&lt;=0,C9&lt;=0),"Missing/zero value","OK"))</f>
        <v>Low occupancy, do not use FTE-normalised KPI this month</v>
      </c>
    </row>
    <row r="10" spans="1:6" x14ac:dyDescent="0.35">
      <c r="A10" s="10" t="str">
        <f>'01_Raw Data'!A10</f>
        <v>Sep</v>
      </c>
      <c r="B10" s="11">
        <f>'01_Raw Data'!B10</f>
        <v>116000</v>
      </c>
      <c r="C10" s="11">
        <f>'01_Raw Data'!C10</f>
        <v>39000</v>
      </c>
      <c r="D10" s="11">
        <f>'01_Raw Data'!D10</f>
        <v>2800</v>
      </c>
      <c r="E10" s="11">
        <f>'01_Raw Data'!E10</f>
        <v>1600</v>
      </c>
      <c r="F10" s="10" t="str">
        <f t="shared" si="0"/>
        <v>OK</v>
      </c>
    </row>
    <row r="11" spans="1:6" x14ac:dyDescent="0.35">
      <c r="A11" s="10" t="str">
        <f>'01_Raw Data'!A11</f>
        <v>Oct</v>
      </c>
      <c r="B11" s="11">
        <f>'01_Raw Data'!B11</f>
        <v>125000</v>
      </c>
      <c r="C11" s="11">
        <f>'01_Raw Data'!C11</f>
        <v>61000</v>
      </c>
      <c r="D11" s="11">
        <f>'01_Raw Data'!D11</f>
        <v>3800</v>
      </c>
      <c r="E11" s="11">
        <f>'01_Raw Data'!E11</f>
        <v>1750</v>
      </c>
      <c r="F11" s="10" t="str">
        <f t="shared" si="0"/>
        <v>OK</v>
      </c>
    </row>
    <row r="12" spans="1:6" x14ac:dyDescent="0.35">
      <c r="A12" s="10" t="str">
        <f>'01_Raw Data'!A12</f>
        <v>Nov</v>
      </c>
      <c r="B12" s="11">
        <f>'01_Raw Data'!B12</f>
        <v>134000</v>
      </c>
      <c r="C12" s="11">
        <f>'01_Raw Data'!C12</f>
        <v>82000</v>
      </c>
      <c r="D12" s="11">
        <f>'01_Raw Data'!D12</f>
        <v>4100</v>
      </c>
      <c r="E12" s="11">
        <f>'01_Raw Data'!E12</f>
        <v>1900</v>
      </c>
      <c r="F12" s="10" t="str">
        <f t="shared" si="0"/>
        <v>OK</v>
      </c>
    </row>
    <row r="13" spans="1:6" x14ac:dyDescent="0.35">
      <c r="A13" s="10" t="str">
        <f>'01_Raw Data'!A13</f>
        <v>Dec</v>
      </c>
      <c r="B13" s="11">
        <f>'01_Raw Data'!B13</f>
        <v>149000</v>
      </c>
      <c r="C13" s="11">
        <f>'01_Raw Data'!C13</f>
        <v>102000</v>
      </c>
      <c r="D13" s="11">
        <f>'01_Raw Data'!D13</f>
        <v>4300</v>
      </c>
      <c r="E13" s="11">
        <f>'01_Raw Data'!E13</f>
        <v>2200</v>
      </c>
      <c r="F13" s="10" t="str">
        <f t="shared" si="0"/>
        <v>OK</v>
      </c>
    </row>
    <row r="15" spans="1:6" x14ac:dyDescent="0.35">
      <c r="A15" s="9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zoomScaleNormal="100" workbookViewId="0"/>
  </sheetViews>
  <sheetFormatPr defaultColWidth="8.6328125" defaultRowHeight="14.5" x14ac:dyDescent="0.35"/>
  <cols>
    <col min="1" max="2" width="16" customWidth="1"/>
    <col min="3" max="3" width="18" customWidth="1"/>
    <col min="4" max="4" width="44" customWidth="1"/>
  </cols>
  <sheetData>
    <row r="1" spans="1:4" x14ac:dyDescent="0.35">
      <c r="A1" s="7" t="s">
        <v>28</v>
      </c>
      <c r="B1" s="7" t="s">
        <v>29</v>
      </c>
      <c r="C1" s="7" t="s">
        <v>30</v>
      </c>
      <c r="D1" s="7" t="s">
        <v>31</v>
      </c>
    </row>
    <row r="2" spans="1:4" x14ac:dyDescent="0.35">
      <c r="A2" s="8" t="s">
        <v>32</v>
      </c>
      <c r="B2" s="8" t="s">
        <v>33</v>
      </c>
      <c r="C2" s="8">
        <v>0.35</v>
      </c>
      <c r="D2" s="8" t="s">
        <v>34</v>
      </c>
    </row>
    <row r="3" spans="1:4" x14ac:dyDescent="0.35">
      <c r="A3" s="8" t="s">
        <v>35</v>
      </c>
      <c r="B3" s="8" t="s">
        <v>33</v>
      </c>
      <c r="C3" s="8">
        <v>0.22</v>
      </c>
      <c r="D3" s="8" t="s">
        <v>34</v>
      </c>
    </row>
    <row r="4" spans="1:4" x14ac:dyDescent="0.35">
      <c r="A4" s="8" t="s">
        <v>36</v>
      </c>
      <c r="B4" s="8" t="s">
        <v>37</v>
      </c>
      <c r="C4" s="8">
        <v>2.68</v>
      </c>
      <c r="D4" s="8" t="s">
        <v>38</v>
      </c>
    </row>
    <row r="5" spans="1:4" x14ac:dyDescent="0.35">
      <c r="A5" s="8" t="s">
        <v>39</v>
      </c>
      <c r="B5" s="8" t="s">
        <v>40</v>
      </c>
      <c r="C5" s="8">
        <v>18500</v>
      </c>
      <c r="D5" s="8" t="s">
        <v>41</v>
      </c>
    </row>
    <row r="6" spans="1:4" x14ac:dyDescent="0.35">
      <c r="A6" s="12" t="s">
        <v>42</v>
      </c>
      <c r="D6" s="13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tabSelected="1" zoomScaleNormal="100" workbookViewId="0">
      <selection activeCell="H9" sqref="H9:H13"/>
    </sheetView>
  </sheetViews>
  <sheetFormatPr defaultColWidth="8.6328125" defaultRowHeight="14.5" x14ac:dyDescent="0.35"/>
  <cols>
    <col min="1" max="1" width="8" customWidth="1"/>
    <col min="2" max="2" width="18" customWidth="1"/>
    <col min="3" max="3" width="16" customWidth="1"/>
    <col min="4" max="4" width="18" customWidth="1"/>
    <col min="5" max="5" width="12" customWidth="1"/>
    <col min="6" max="6" width="10" customWidth="1"/>
    <col min="7" max="7" width="18" customWidth="1"/>
    <col min="8" max="8" width="20" customWidth="1"/>
  </cols>
  <sheetData>
    <row r="1" spans="1:8" ht="26" x14ac:dyDescent="0.35">
      <c r="A1" s="7" t="s">
        <v>8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</row>
    <row r="2" spans="1:8" x14ac:dyDescent="0.35">
      <c r="A2" s="10" t="str">
        <f>'02_Clean Data'!A2</f>
        <v>Jan</v>
      </c>
      <c r="B2" s="11">
        <f>'02_Clean Data'!B2+'02_Clean Data'!C2</f>
        <v>240000</v>
      </c>
      <c r="C2" s="14">
        <f>'02_Clean Data'!E2*'03_Emission Factors'!$C$4/1000</f>
        <v>5.6280000000000001</v>
      </c>
      <c r="D2" s="14">
        <f>('02_Clean Data'!B2*'03_Emission Factors'!$C$2+'02_Clean Data'!C2*'03_Emission Factors'!$C$3)/1000</f>
        <v>71.260000000000005</v>
      </c>
      <c r="E2" s="14">
        <f t="shared" ref="E2:E13" si="0">C2+D2</f>
        <v>76.888000000000005</v>
      </c>
      <c r="F2" s="15">
        <f>B2/'03_Emission Factors'!$C$5</f>
        <v>12.972972972972974</v>
      </c>
      <c r="G2" s="14">
        <f>B2/'02_Clean Data'!D2</f>
        <v>57.142857142857146</v>
      </c>
      <c r="H2" s="10" t="str">
        <f>IF('02_Clean Data'!D2&lt;1000,"No - low occupancy","Yes")</f>
        <v>Yes</v>
      </c>
    </row>
    <row r="3" spans="1:8" x14ac:dyDescent="0.35">
      <c r="A3" s="10" t="str">
        <f>'02_Clean Data'!A3</f>
        <v>Feb</v>
      </c>
      <c r="B3" s="11">
        <f>'02_Clean Data'!B3+'02_Clean Data'!C3</f>
        <v>227000</v>
      </c>
      <c r="C3" s="14">
        <f>'02_Clean Data'!E3*'03_Emission Factors'!$C$4/1000</f>
        <v>5.0919999999999996</v>
      </c>
      <c r="D3" s="14">
        <f>('02_Clean Data'!B3*'03_Emission Factors'!$C$2+'02_Clean Data'!C3*'03_Emission Factors'!$C$3)/1000</f>
        <v>67.62</v>
      </c>
      <c r="E3" s="14">
        <f t="shared" si="0"/>
        <v>72.712000000000003</v>
      </c>
      <c r="F3" s="15">
        <f>B3/'03_Emission Factors'!$C$5</f>
        <v>12.27027027027027</v>
      </c>
      <c r="G3" s="14">
        <f>B3/'02_Clean Data'!D3</f>
        <v>54.047619047619051</v>
      </c>
      <c r="H3" s="10" t="str">
        <f>IF('02_Clean Data'!D3&lt;1000,"No - low occupancy","Yes")</f>
        <v>Yes</v>
      </c>
    </row>
    <row r="4" spans="1:8" x14ac:dyDescent="0.35">
      <c r="A4" s="10" t="str">
        <f>'02_Clean Data'!A4</f>
        <v>Mar</v>
      </c>
      <c r="B4" s="11">
        <f>'02_Clean Data'!B4+'02_Clean Data'!C4</f>
        <v>206000</v>
      </c>
      <c r="C4" s="14">
        <f>'02_Clean Data'!E4*'03_Emission Factors'!$C$4/1000</f>
        <v>5.4939999999999998</v>
      </c>
      <c r="D4" s="14">
        <f>('02_Clean Data'!B4*'03_Emission Factors'!$C$2+'02_Clean Data'!C4*'03_Emission Factors'!$C$3)/1000</f>
        <v>61.96</v>
      </c>
      <c r="E4" s="14">
        <f t="shared" si="0"/>
        <v>67.454000000000008</v>
      </c>
      <c r="F4" s="15">
        <f>B4/'03_Emission Factors'!$C$5</f>
        <v>11.135135135135135</v>
      </c>
      <c r="G4" s="14">
        <f>B4/'02_Clean Data'!D4</f>
        <v>50.243902439024389</v>
      </c>
      <c r="H4" s="10" t="str">
        <f>IF('02_Clean Data'!D4&lt;1000,"No - low occupancy","Yes")</f>
        <v>Yes</v>
      </c>
    </row>
    <row r="5" spans="1:8" x14ac:dyDescent="0.35">
      <c r="A5" s="10" t="str">
        <f>'02_Clean Data'!A5</f>
        <v>Apr</v>
      </c>
      <c r="B5" s="11">
        <f>'02_Clean Data'!B5+'02_Clean Data'!C5</f>
        <v>171000</v>
      </c>
      <c r="C5" s="14">
        <f>'02_Clean Data'!E5*'03_Emission Factors'!$C$4/1000</f>
        <v>4.8239999999999998</v>
      </c>
      <c r="D5" s="14">
        <f>('02_Clean Data'!B5*'03_Emission Factors'!$C$2+'02_Clean Data'!C5*'03_Emission Factors'!$C$3)/1000</f>
        <v>53.09</v>
      </c>
      <c r="E5" s="14">
        <f t="shared" si="0"/>
        <v>57.914000000000001</v>
      </c>
      <c r="F5" s="15">
        <f>B5/'03_Emission Factors'!$C$5</f>
        <v>9.2432432432432439</v>
      </c>
      <c r="G5" s="14">
        <f>B5/'02_Clean Data'!D5</f>
        <v>43.846153846153847</v>
      </c>
      <c r="H5" s="10" t="str">
        <f>IF('02_Clean Data'!D5&lt;1000,"No - low occupancy","Yes")</f>
        <v>Yes</v>
      </c>
    </row>
    <row r="6" spans="1:8" x14ac:dyDescent="0.35">
      <c r="A6" s="10" t="str">
        <f>'02_Clean Data'!A6</f>
        <v>May</v>
      </c>
      <c r="B6" s="11">
        <f>'02_Clean Data'!B6+'02_Clean Data'!C6</f>
        <v>146000</v>
      </c>
      <c r="C6" s="14">
        <f>'02_Clean Data'!E6*'03_Emission Factors'!$C$4/1000</f>
        <v>4.556</v>
      </c>
      <c r="D6" s="14">
        <f>('02_Clean Data'!B6*'03_Emission Factors'!$C$2+'02_Clean Data'!C6*'03_Emission Factors'!$C$3)/1000</f>
        <v>46.68</v>
      </c>
      <c r="E6" s="14">
        <f t="shared" si="0"/>
        <v>51.235999999999997</v>
      </c>
      <c r="F6" s="15">
        <f>B6/'03_Emission Factors'!$C$5</f>
        <v>7.8918918918918921</v>
      </c>
      <c r="G6" s="14">
        <f>B6/'02_Clean Data'!D6</f>
        <v>41.714285714285715</v>
      </c>
      <c r="H6" s="10" t="str">
        <f>IF('02_Clean Data'!D6&lt;1000,"No - low occupancy","Yes")</f>
        <v>Yes</v>
      </c>
    </row>
    <row r="7" spans="1:8" x14ac:dyDescent="0.35">
      <c r="A7" s="10" t="str">
        <f>'02_Clean Data'!A7</f>
        <v>Jun</v>
      </c>
      <c r="B7" s="11">
        <f>'02_Clean Data'!B7+'02_Clean Data'!C7</f>
        <v>122000</v>
      </c>
      <c r="C7" s="14">
        <f>'02_Clean Data'!E7*'03_Emission Factors'!$C$4/1000</f>
        <v>4.0200000000000005</v>
      </c>
      <c r="D7" s="14">
        <f>('02_Clean Data'!B7*'03_Emission Factors'!$C$2+'02_Clean Data'!C7*'03_Emission Factors'!$C$3)/1000</f>
        <v>40.36</v>
      </c>
      <c r="E7" s="14">
        <f t="shared" si="0"/>
        <v>44.38</v>
      </c>
      <c r="F7" s="15">
        <f>B7/'03_Emission Factors'!$C$5</f>
        <v>6.5945945945945947</v>
      </c>
      <c r="G7" s="14">
        <f>B7/'02_Clean Data'!D7</f>
        <v>48.8</v>
      </c>
      <c r="H7" s="10" t="str">
        <f>IF('02_Clean Data'!D7&lt;1000,"No - low occupancy","Yes")</f>
        <v>Yes</v>
      </c>
    </row>
    <row r="8" spans="1:8" x14ac:dyDescent="0.35">
      <c r="A8" s="10" t="str">
        <f>'02_Clean Data'!A8</f>
        <v>Jul</v>
      </c>
      <c r="B8" s="11">
        <f>'02_Clean Data'!B8+'02_Clean Data'!C8</f>
        <v>110000</v>
      </c>
      <c r="C8" s="14">
        <f>'02_Clean Data'!E8*'03_Emission Factors'!$C$4/1000</f>
        <v>2.4119999999999999</v>
      </c>
      <c r="D8" s="14">
        <f>('02_Clean Data'!B8*'03_Emission Factors'!$C$2+'02_Clean Data'!C8*'03_Emission Factors'!$C$3)/1000</f>
        <v>36.94</v>
      </c>
      <c r="E8" s="14">
        <f t="shared" si="0"/>
        <v>39.351999999999997</v>
      </c>
      <c r="F8" s="15">
        <f>B8/'03_Emission Factors'!$C$5</f>
        <v>5.9459459459459456</v>
      </c>
      <c r="G8" s="14">
        <f>B8/'02_Clean Data'!D8</f>
        <v>137.5</v>
      </c>
      <c r="H8" s="10" t="str">
        <f>IF('02_Clean Data'!D8&lt;1000,"No - low occupancy","Yes")</f>
        <v>No - low occupancy</v>
      </c>
    </row>
    <row r="9" spans="1:8" x14ac:dyDescent="0.35">
      <c r="A9" s="10" t="str">
        <f>'02_Clean Data'!A9</f>
        <v>Aug</v>
      </c>
      <c r="B9" s="11">
        <f>'02_Clean Data'!B9+'02_Clean Data'!C9</f>
        <v>116000</v>
      </c>
      <c r="C9" s="14">
        <f>'02_Clean Data'!E9*'03_Emission Factors'!$C$4/1000</f>
        <v>2.278</v>
      </c>
      <c r="D9" s="14">
        <f>('02_Clean Data'!B9*'03_Emission Factors'!$C$2+'02_Clean Data'!C9*'03_Emission Factors'!$C$3)/1000</f>
        <v>38.65</v>
      </c>
      <c r="E9" s="14">
        <f t="shared" si="0"/>
        <v>40.927999999999997</v>
      </c>
      <c r="F9" s="15">
        <f>B9/'03_Emission Factors'!$C$5</f>
        <v>6.2702702702702702</v>
      </c>
      <c r="G9" s="14">
        <f>B9/'02_Clean Data'!D9</f>
        <v>193.33333333333334</v>
      </c>
      <c r="H9" s="10" t="str">
        <f>IF('02_Clean Data'!D9&lt;1000,"No - low occupancy","Yes")</f>
        <v>No - low occupancy</v>
      </c>
    </row>
    <row r="10" spans="1:8" x14ac:dyDescent="0.35">
      <c r="A10" s="10" t="str">
        <f>'02_Clean Data'!A10</f>
        <v>Sep</v>
      </c>
      <c r="B10" s="11">
        <f>'02_Clean Data'!B10+'02_Clean Data'!C10</f>
        <v>155000</v>
      </c>
      <c r="C10" s="14">
        <f>'02_Clean Data'!E10*'03_Emission Factors'!$C$4/1000</f>
        <v>4.2880000000000003</v>
      </c>
      <c r="D10" s="14">
        <f>('02_Clean Data'!B10*'03_Emission Factors'!$C$2+'02_Clean Data'!C10*'03_Emission Factors'!$C$3)/1000</f>
        <v>49.18</v>
      </c>
      <c r="E10" s="14">
        <f t="shared" si="0"/>
        <v>53.468000000000004</v>
      </c>
      <c r="F10" s="15">
        <f>B10/'03_Emission Factors'!$C$5</f>
        <v>8.378378378378379</v>
      </c>
      <c r="G10" s="14">
        <f>B10/'02_Clean Data'!D10</f>
        <v>55.357142857142854</v>
      </c>
      <c r="H10" s="10" t="str">
        <f>IF('02_Clean Data'!D10&lt;1000,"No - low occupancy","Yes")</f>
        <v>Yes</v>
      </c>
    </row>
    <row r="11" spans="1:8" x14ac:dyDescent="0.35">
      <c r="A11" s="10" t="str">
        <f>'02_Clean Data'!A11</f>
        <v>Oct</v>
      </c>
      <c r="B11" s="11">
        <f>'02_Clean Data'!B11+'02_Clean Data'!C11</f>
        <v>186000</v>
      </c>
      <c r="C11" s="14">
        <f>'02_Clean Data'!E11*'03_Emission Factors'!$C$4/1000</f>
        <v>4.6900000000000004</v>
      </c>
      <c r="D11" s="14">
        <f>('02_Clean Data'!B11*'03_Emission Factors'!$C$2+'02_Clean Data'!C11*'03_Emission Factors'!$C$3)/1000</f>
        <v>57.17</v>
      </c>
      <c r="E11" s="14">
        <f t="shared" si="0"/>
        <v>61.86</v>
      </c>
      <c r="F11" s="15">
        <f>B11/'03_Emission Factors'!$C$5</f>
        <v>10.054054054054054</v>
      </c>
      <c r="G11" s="14">
        <f>B11/'02_Clean Data'!D11</f>
        <v>48.94736842105263</v>
      </c>
      <c r="H11" s="10" t="str">
        <f>IF('02_Clean Data'!D11&lt;1000,"No - low occupancy","Yes")</f>
        <v>Yes</v>
      </c>
    </row>
    <row r="12" spans="1:8" x14ac:dyDescent="0.35">
      <c r="A12" s="10" t="str">
        <f>'02_Clean Data'!A12</f>
        <v>Nov</v>
      </c>
      <c r="B12" s="11">
        <f>'02_Clean Data'!B12+'02_Clean Data'!C12</f>
        <v>216000</v>
      </c>
      <c r="C12" s="14">
        <f>'02_Clean Data'!E12*'03_Emission Factors'!$C$4/1000</f>
        <v>5.0919999999999996</v>
      </c>
      <c r="D12" s="14">
        <f>('02_Clean Data'!B12*'03_Emission Factors'!$C$2+'02_Clean Data'!C12*'03_Emission Factors'!$C$3)/1000</f>
        <v>64.94</v>
      </c>
      <c r="E12" s="14">
        <f t="shared" si="0"/>
        <v>70.031999999999996</v>
      </c>
      <c r="F12" s="15">
        <f>B12/'03_Emission Factors'!$C$5</f>
        <v>11.675675675675675</v>
      </c>
      <c r="G12" s="14">
        <f>B12/'02_Clean Data'!D12</f>
        <v>52.68292682926829</v>
      </c>
      <c r="H12" s="10" t="str">
        <f>IF('02_Clean Data'!D12&lt;1000,"No - low occupancy","Yes")</f>
        <v>Yes</v>
      </c>
    </row>
    <row r="13" spans="1:8" x14ac:dyDescent="0.35">
      <c r="A13" s="10" t="str">
        <f>'02_Clean Data'!A13</f>
        <v>Dec</v>
      </c>
      <c r="B13" s="11">
        <f>'02_Clean Data'!B13+'02_Clean Data'!C13</f>
        <v>251000</v>
      </c>
      <c r="C13" s="14">
        <f>'02_Clean Data'!E13*'03_Emission Factors'!$C$4/1000</f>
        <v>5.8959999999999999</v>
      </c>
      <c r="D13" s="14">
        <f>('02_Clean Data'!B13*'03_Emission Factors'!$C$2+'02_Clean Data'!C13*'03_Emission Factors'!$C$3)/1000</f>
        <v>74.59</v>
      </c>
      <c r="E13" s="14">
        <f t="shared" si="0"/>
        <v>80.486000000000004</v>
      </c>
      <c r="F13" s="15">
        <f>B13/'03_Emission Factors'!$C$5</f>
        <v>13.567567567567568</v>
      </c>
      <c r="G13" s="14">
        <f>B13/'02_Clean Data'!D13</f>
        <v>58.372093023255815</v>
      </c>
      <c r="H13" s="10" t="str">
        <f>IF('02_Clean Data'!D13&lt;1000,"No - low occupancy","Yes")</f>
        <v>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zoomScaleNormal="100" workbookViewId="0">
      <selection activeCell="D12" sqref="D12"/>
    </sheetView>
  </sheetViews>
  <sheetFormatPr defaultColWidth="8.6328125" defaultRowHeight="14.5" x14ac:dyDescent="0.35"/>
  <cols>
    <col min="1" max="1" width="36" customWidth="1"/>
    <col min="2" max="2" width="16" customWidth="1"/>
    <col min="3" max="3" width="18" customWidth="1"/>
    <col min="4" max="4" width="58" customWidth="1"/>
  </cols>
  <sheetData>
    <row r="1" spans="1:4" x14ac:dyDescent="0.35">
      <c r="A1" s="7" t="s">
        <v>51</v>
      </c>
      <c r="B1" s="7" t="s">
        <v>52</v>
      </c>
      <c r="C1" s="7" t="s">
        <v>29</v>
      </c>
      <c r="D1" s="7" t="s">
        <v>53</v>
      </c>
    </row>
    <row r="2" spans="1:4" x14ac:dyDescent="0.35">
      <c r="A2" s="10" t="s">
        <v>54</v>
      </c>
      <c r="B2" s="16">
        <f>SUM('02_Clean Data'!B2:B13)</f>
        <v>1464000</v>
      </c>
      <c r="C2" s="10" t="s">
        <v>55</v>
      </c>
      <c r="D2" s="10" t="s">
        <v>56</v>
      </c>
    </row>
    <row r="3" spans="1:4" x14ac:dyDescent="0.35">
      <c r="A3" s="10" t="s">
        <v>57</v>
      </c>
      <c r="B3" s="16">
        <f>SUM('02_Clean Data'!C2:C13)</f>
        <v>682000</v>
      </c>
      <c r="C3" s="10" t="s">
        <v>55</v>
      </c>
      <c r="D3" s="10" t="s">
        <v>58</v>
      </c>
    </row>
    <row r="4" spans="1:4" x14ac:dyDescent="0.35">
      <c r="A4" s="10" t="s">
        <v>59</v>
      </c>
      <c r="B4" s="16">
        <f>B2+B3</f>
        <v>2146000</v>
      </c>
      <c r="C4" s="10" t="s">
        <v>55</v>
      </c>
      <c r="D4" s="10" t="s">
        <v>60</v>
      </c>
    </row>
    <row r="5" spans="1:4" x14ac:dyDescent="0.35">
      <c r="A5" s="10" t="s">
        <v>61</v>
      </c>
      <c r="B5" s="16">
        <f>SUM('04_Calculations'!E2:E13)</f>
        <v>716.71</v>
      </c>
      <c r="C5" s="10" t="s">
        <v>62</v>
      </c>
      <c r="D5" s="10" t="s">
        <v>63</v>
      </c>
    </row>
    <row r="6" spans="1:4" x14ac:dyDescent="0.35">
      <c r="A6" s="10" t="s">
        <v>64</v>
      </c>
      <c r="B6" s="16">
        <f>B4/'03_Emission Factors'!$C$5</f>
        <v>116</v>
      </c>
      <c r="C6" s="10" t="s">
        <v>48</v>
      </c>
      <c r="D6" s="10" t="s">
        <v>110</v>
      </c>
    </row>
    <row r="7" spans="1:4" x14ac:dyDescent="0.35">
      <c r="A7" s="10" t="s">
        <v>65</v>
      </c>
      <c r="B7" s="16">
        <f>AVERAGEIF('02_Clean Data'!D2:D13,"&gt;=1000",'04_Calculations'!G2:G13)</f>
        <v>51.115434932065966</v>
      </c>
      <c r="C7" s="10" t="s">
        <v>66</v>
      </c>
      <c r="D7" s="10" t="s">
        <v>111</v>
      </c>
    </row>
    <row r="8" spans="1:4" x14ac:dyDescent="0.35">
      <c r="A8" s="10" t="s">
        <v>67</v>
      </c>
      <c r="B8" s="16">
        <f>MAX('02_Clean Data'!C2:C13)/MIN('02_Clean Data'!C2:C13)</f>
        <v>8.5</v>
      </c>
      <c r="C8" s="10" t="s">
        <v>68</v>
      </c>
      <c r="D8" s="10" t="s">
        <v>69</v>
      </c>
    </row>
    <row r="9" spans="1:4" x14ac:dyDescent="0.35">
      <c r="A9" s="10" t="s">
        <v>70</v>
      </c>
      <c r="B9" s="16" t="str">
        <f>INDEX('02_Clean Data'!A2:A13,MATCH(MAX('02_Clean Data'!C2:C13),'02_Clean Data'!C2:C13,0))</f>
        <v>Dec</v>
      </c>
      <c r="C9" s="10" t="s">
        <v>71</v>
      </c>
      <c r="D9" s="10" t="s">
        <v>72</v>
      </c>
    </row>
    <row r="10" spans="1:4" x14ac:dyDescent="0.35">
      <c r="A10" s="10" t="s">
        <v>73</v>
      </c>
      <c r="B10" s="16">
        <f>COUNTIF('02_Clean Data'!D2:D13,"&lt;1000")</f>
        <v>2</v>
      </c>
      <c r="C10" s="10" t="s">
        <v>74</v>
      </c>
      <c r="D10" s="10" t="s">
        <v>75</v>
      </c>
    </row>
    <row r="11" spans="1:4" x14ac:dyDescent="0.35">
      <c r="A11" s="10" t="s">
        <v>76</v>
      </c>
      <c r="B11" s="16">
        <f>AVERAGE('02_Clean Data'!B8:B9)</f>
        <v>99500</v>
      </c>
      <c r="C11" s="10" t="s">
        <v>55</v>
      </c>
      <c r="D11" s="10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8"/>
  <sheetViews>
    <sheetView topLeftCell="A2" zoomScale="72" zoomScaleNormal="100" workbookViewId="0">
      <selection activeCell="A38" sqref="A38:H38"/>
    </sheetView>
  </sheetViews>
  <sheetFormatPr defaultColWidth="8.6328125" defaultRowHeight="14.5" x14ac:dyDescent="0.35"/>
  <cols>
    <col min="1" max="8" width="16" customWidth="1"/>
    <col min="9" max="9" width="14" customWidth="1"/>
    <col min="10" max="10" width="22" customWidth="1"/>
  </cols>
  <sheetData>
    <row r="1" spans="1:7" ht="20" x14ac:dyDescent="0.4">
      <c r="A1" s="3" t="s">
        <v>0</v>
      </c>
    </row>
    <row r="2" spans="1:7" x14ac:dyDescent="0.35">
      <c r="A2" s="4" t="s">
        <v>113</v>
      </c>
    </row>
    <row r="4" spans="1:7" x14ac:dyDescent="0.35">
      <c r="A4" s="17" t="s">
        <v>77</v>
      </c>
      <c r="C4" s="17" t="s">
        <v>78</v>
      </c>
      <c r="E4" s="17" t="s">
        <v>79</v>
      </c>
      <c r="G4" s="17" t="s">
        <v>80</v>
      </c>
    </row>
    <row r="5" spans="1:7" ht="23" x14ac:dyDescent="0.5">
      <c r="A5" s="18">
        <f>'05_KPIs'!B4</f>
        <v>2146000</v>
      </c>
      <c r="C5" s="19">
        <f>'05_KPIs'!B5</f>
        <v>716.71</v>
      </c>
      <c r="E5" s="20">
        <f>'05_KPIs'!B6</f>
        <v>116</v>
      </c>
      <c r="G5" s="20">
        <f>'05_KPIs'!B7</f>
        <v>51.115434932065966</v>
      </c>
    </row>
    <row r="6" spans="1:7" x14ac:dyDescent="0.35">
      <c r="A6" s="21"/>
      <c r="C6" s="21"/>
      <c r="E6" s="21"/>
      <c r="G6" s="21"/>
    </row>
    <row r="26" spans="10:15" ht="15.5" x14ac:dyDescent="0.35">
      <c r="J26" s="5" t="s">
        <v>81</v>
      </c>
    </row>
    <row r="27" spans="10:15" x14ac:dyDescent="0.35">
      <c r="J27" s="12" t="str">
        <f>COUNTIF('02_Clean Data'!F2:F13,"&lt;&gt;OK")&amp;" of 12 months flagged (see 02_Clean Data column F)"</f>
        <v>2 of 12 months flagged (see 02_Clean Data column F)</v>
      </c>
    </row>
    <row r="29" spans="10:15" ht="15.5" x14ac:dyDescent="0.35">
      <c r="J29" s="5" t="s">
        <v>82</v>
      </c>
    </row>
    <row r="30" spans="10:15" ht="33.75" customHeight="1" x14ac:dyDescent="0.35">
      <c r="J30" s="1" t="str">
        <f>"District heat swings "&amp;TEXT('05_KPIs'!B8,"0.0")&amp;"x between peak ("&amp;'05_KPIs'!B9&amp;") and trough, a clear heating-season signature."</f>
        <v>District heat swings 8.5x between peak (Dec) and trough, a clear heating-season signature.</v>
      </c>
      <c r="K30" s="1"/>
      <c r="L30" s="1"/>
      <c r="M30" s="1"/>
      <c r="N30" s="1"/>
      <c r="O30" s="1"/>
    </row>
    <row r="31" spans="10:15" ht="33.75" customHeight="1" x14ac:dyDescent="0.35">
      <c r="J31" s="1" t="str">
        <f>"kWh/occupied-FTE spikes in Jul/Aug because occupancy falls faster than energy use.  the KPI breaks down, not the building: use the term-time average instead."</f>
        <v>kWh/occupied-FTE spikes in Jul/Aug because occupancy falls faster than energy use.  the KPI breaks down, not the building: use the term-time average instead.</v>
      </c>
      <c r="K31" s="1"/>
      <c r="L31" s="1"/>
      <c r="M31" s="1"/>
      <c r="N31" s="1"/>
      <c r="O31" s="1"/>
    </row>
    <row r="32" spans="10:15" ht="33.75" customHeight="1" x14ac:dyDescent="0.35">
      <c r="J32" s="1" t="str">
        <f>"Jul/Aug electricity averages "&amp;TEXT('05_KPIs'!B11,"#,##0")&amp;" kWh/month with near-zero occupancy. a baseload worth investigating (always-on equipment, IT, refrigeration)."</f>
        <v>Jul/Aug electricity averages 99,500 kWh/month with near-zero occupancy. a baseload worth investigating (always-on equipment, IT, refrigeration).</v>
      </c>
      <c r="K32" s="1"/>
      <c r="L32" s="1"/>
      <c r="M32" s="1"/>
      <c r="N32" s="1"/>
      <c r="O32" s="1"/>
    </row>
    <row r="34" spans="1:8" ht="15.5" x14ac:dyDescent="0.35">
      <c r="A34" s="5" t="s">
        <v>83</v>
      </c>
    </row>
    <row r="35" spans="1:8" x14ac:dyDescent="0.35">
      <c r="A35" s="2" t="s">
        <v>84</v>
      </c>
      <c r="B35" s="2"/>
      <c r="C35" s="2"/>
      <c r="D35" s="2"/>
      <c r="E35" s="2"/>
      <c r="F35" s="2"/>
      <c r="G35" s="2"/>
      <c r="H35" s="2"/>
    </row>
    <row r="36" spans="1:8" x14ac:dyDescent="0.35">
      <c r="A36" s="2" t="s">
        <v>85</v>
      </c>
      <c r="B36" s="2"/>
      <c r="C36" s="2"/>
      <c r="D36" s="2"/>
      <c r="E36" s="2"/>
      <c r="F36" s="2"/>
      <c r="G36" s="2"/>
      <c r="H36" s="2"/>
    </row>
    <row r="37" spans="1:8" x14ac:dyDescent="0.35">
      <c r="A37" s="2" t="s">
        <v>114</v>
      </c>
      <c r="B37" s="2"/>
      <c r="C37" s="2"/>
      <c r="D37" s="2"/>
      <c r="E37" s="2"/>
      <c r="F37" s="2"/>
      <c r="G37" s="2"/>
      <c r="H37" s="2"/>
    </row>
    <row r="38" spans="1:8" x14ac:dyDescent="0.35">
      <c r="A38" s="2" t="s">
        <v>86</v>
      </c>
      <c r="B38" s="2"/>
      <c r="C38" s="2"/>
      <c r="D38" s="2"/>
      <c r="E38" s="2"/>
      <c r="F38" s="2"/>
      <c r="G38" s="2"/>
      <c r="H38" s="2"/>
    </row>
  </sheetData>
  <mergeCells count="7">
    <mergeCell ref="A37:H37"/>
    <mergeCell ref="A38:H38"/>
    <mergeCell ref="J30:O30"/>
    <mergeCell ref="J31:O31"/>
    <mergeCell ref="J32:O32"/>
    <mergeCell ref="A35:H35"/>
    <mergeCell ref="A36:H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zoomScaleNormal="100" workbookViewId="0"/>
  </sheetViews>
  <sheetFormatPr defaultColWidth="8.6328125" defaultRowHeight="14.5" x14ac:dyDescent="0.35"/>
  <cols>
    <col min="1" max="1" width="22" customWidth="1"/>
    <col min="2" max="3" width="34" customWidth="1"/>
    <col min="4" max="4" width="16" customWidth="1"/>
  </cols>
  <sheetData>
    <row r="1" spans="1:4" x14ac:dyDescent="0.35">
      <c r="A1" s="7" t="s">
        <v>87</v>
      </c>
      <c r="B1" s="7" t="s">
        <v>88</v>
      </c>
      <c r="C1" s="7" t="s">
        <v>89</v>
      </c>
      <c r="D1" s="7" t="s">
        <v>90</v>
      </c>
    </row>
    <row r="2" spans="1:4" x14ac:dyDescent="0.35">
      <c r="A2" s="10" t="s">
        <v>91</v>
      </c>
      <c r="B2" s="10" t="s">
        <v>92</v>
      </c>
      <c r="C2" s="10" t="s">
        <v>93</v>
      </c>
      <c r="D2" s="10" t="s">
        <v>94</v>
      </c>
    </row>
    <row r="3" spans="1:4" x14ac:dyDescent="0.35">
      <c r="A3" s="10" t="s">
        <v>95</v>
      </c>
      <c r="B3" s="10" t="s">
        <v>96</v>
      </c>
      <c r="C3" s="10" t="s">
        <v>97</v>
      </c>
      <c r="D3" s="10" t="s">
        <v>94</v>
      </c>
    </row>
    <row r="4" spans="1:4" x14ac:dyDescent="0.35">
      <c r="A4" s="10" t="s">
        <v>98</v>
      </c>
      <c r="B4" s="10" t="s">
        <v>99</v>
      </c>
      <c r="C4" s="10" t="s">
        <v>100</v>
      </c>
      <c r="D4" s="10" t="s">
        <v>94</v>
      </c>
    </row>
    <row r="5" spans="1:4" x14ac:dyDescent="0.35">
      <c r="A5" s="10" t="s">
        <v>101</v>
      </c>
      <c r="B5" s="10" t="s">
        <v>102</v>
      </c>
      <c r="C5" s="10" t="s">
        <v>103</v>
      </c>
      <c r="D5" s="10" t="s">
        <v>104</v>
      </c>
    </row>
    <row r="6" spans="1:4" x14ac:dyDescent="0.35">
      <c r="A6" s="10" t="s">
        <v>105</v>
      </c>
      <c r="B6" s="10" t="s">
        <v>106</v>
      </c>
      <c r="C6" s="10" t="s">
        <v>107</v>
      </c>
      <c r="D6" s="10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00_Client View</vt:lpstr>
      <vt:lpstr>01_Raw Data</vt:lpstr>
      <vt:lpstr>02_Clean Data</vt:lpstr>
      <vt:lpstr>03_Emission Factors</vt:lpstr>
      <vt:lpstr>04_Calculations</vt:lpstr>
      <vt:lpstr>05_KPIs</vt:lpstr>
      <vt:lpstr>06_Dashboard</vt:lpstr>
      <vt:lpstr>07_Client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Jumoke Oladejo</dc:creator>
  <dc:description/>
  <cp:lastModifiedBy>Jumoke Oladejo</cp:lastModifiedBy>
  <cp:revision>1</cp:revision>
  <dcterms:created xsi:type="dcterms:W3CDTF">2026-09-22T07:25:35Z</dcterms:created>
  <dcterms:modified xsi:type="dcterms:W3CDTF">2026-10-04T20:31:13Z</dcterms:modified>
  <dc:language>en-US</dc:language>
</cp:coreProperties>
</file>
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drawings/drawing4.xml" ContentType="application/vnd.openxmlformats-officedocument.drawing+xml"/>
  <Override PartName="/xl/charts/chart5.xml" ContentType="application/vnd.openxmlformats-officedocument.drawingml.chart+xml"/>
  <Override PartName="/xl/drawings/drawing5.xml" ContentType="application/vnd.openxmlformats-officedocument.drawing+xml"/>
  <Override PartName="/xl/charts/chart6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C:\Users\Jummie\Downloads\"/>
    </mc:Choice>
  </mc:AlternateContent>
  <xr:revisionPtr revIDLastSave="0" documentId="8_{EF103EFF-0C0B-40C9-9DD1-09AD22D8B779}" xr6:coauthVersionLast="47" xr6:coauthVersionMax="47" xr10:uidLastSave="{00000000-0000-0000-0000-000000000000}"/>
  <bookViews>
    <workbookView xWindow="-110" yWindow="-110" windowWidth="22780" windowHeight="14540" tabRatio="500" firstSheet="10" activeTab="11" xr2:uid="{00000000-000D-0000-FFFF-FFFF00000000}"/>
  </bookViews>
  <sheets>
    <sheet name="00_Overview" sheetId="1" r:id="rId1"/>
    <sheet name="01_Commuting Questionnaire" sheetId="2" r:id="rId2"/>
    <sheet name="02_Commuting Survey Responses" sheetId="3" r:id="rId3"/>
    <sheet name="03_Commuting Assumptions" sheetId="4" r:id="rId4"/>
    <sheet name="04_Business Trip Bookings (Raw)" sheetId="5" r:id="rId5"/>
    <sheet name="05_Monthly Aggregation - Trips" sheetId="6" r:id="rId6"/>
    <sheet name="06_Monthly Estimate - Commuting" sheetId="7" r:id="rId7"/>
    <sheet name="07_Combined Travel Activity" sheetId="8" r:id="rId8"/>
    <sheet name="08_Emission Factors" sheetId="9" r:id="rId9"/>
    <sheet name="09_KPIs &amp; Dashboard" sheetId="10" r:id="rId10"/>
    <sheet name="10_Chart - Biz Mode Share" sheetId="12" r:id="rId11"/>
    <sheet name="11_Chart - Annual Biz v Commute" sheetId="15" r:id="rId12"/>
  </sheet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A13" i="10" l="1"/>
  <c r="A12" i="10"/>
  <c r="A11" i="10"/>
  <c r="A5" i="10"/>
  <c r="A13" i="8"/>
  <c r="A16" i="10" s="1"/>
  <c r="A12" i="8"/>
  <c r="A15" i="10" s="1"/>
  <c r="A11" i="8"/>
  <c r="A14" i="10" s="1"/>
  <c r="A10" i="8"/>
  <c r="E9" i="8"/>
  <c r="D9" i="8"/>
  <c r="A9" i="8"/>
  <c r="E8" i="8"/>
  <c r="A8" i="8"/>
  <c r="A7" i="8"/>
  <c r="A10" i="10" s="1"/>
  <c r="A6" i="8"/>
  <c r="A9" i="10" s="1"/>
  <c r="B5" i="8"/>
  <c r="A5" i="8"/>
  <c r="A8" i="10" s="1"/>
  <c r="A4" i="8"/>
  <c r="A7" i="10" s="1"/>
  <c r="E3" i="8"/>
  <c r="A3" i="8"/>
  <c r="A6" i="10" s="1"/>
  <c r="E2" i="8"/>
  <c r="D2" i="8"/>
  <c r="A2" i="8"/>
  <c r="E13" i="7"/>
  <c r="F13" i="6"/>
  <c r="E13" i="6"/>
  <c r="E13" i="8" s="1"/>
  <c r="F12" i="6"/>
  <c r="E12" i="6"/>
  <c r="E12" i="8" s="1"/>
  <c r="F11" i="6"/>
  <c r="E11" i="6"/>
  <c r="E11" i="8" s="1"/>
  <c r="D11" i="6"/>
  <c r="D11" i="8" s="1"/>
  <c r="F10" i="6"/>
  <c r="E10" i="6"/>
  <c r="E10" i="8" s="1"/>
  <c r="F9" i="6"/>
  <c r="E9" i="6"/>
  <c r="D9" i="6"/>
  <c r="B9" i="6"/>
  <c r="B9" i="8" s="1"/>
  <c r="B12" i="10" s="1"/>
  <c r="F8" i="6"/>
  <c r="E8" i="6"/>
  <c r="D8" i="6"/>
  <c r="D8" i="8" s="1"/>
  <c r="F7" i="6"/>
  <c r="E7" i="6"/>
  <c r="E7" i="8" s="1"/>
  <c r="C7" i="6"/>
  <c r="C7" i="8" s="1"/>
  <c r="F6" i="6"/>
  <c r="E6" i="6"/>
  <c r="E6" i="8" s="1"/>
  <c r="F5" i="6"/>
  <c r="E5" i="6"/>
  <c r="E5" i="8" s="1"/>
  <c r="C5" i="6"/>
  <c r="C5" i="8" s="1"/>
  <c r="B5" i="6"/>
  <c r="F4" i="6"/>
  <c r="E4" i="6"/>
  <c r="E4" i="8" s="1"/>
  <c r="C4" i="6"/>
  <c r="C4" i="8" s="1"/>
  <c r="F3" i="6"/>
  <c r="E3" i="6"/>
  <c r="D3" i="6"/>
  <c r="D3" i="8" s="1"/>
  <c r="F2" i="6"/>
  <c r="E2" i="6"/>
  <c r="D2" i="6"/>
  <c r="J75" i="5"/>
  <c r="I75" i="5"/>
  <c r="I74" i="5"/>
  <c r="J74" i="5" s="1"/>
  <c r="I73" i="5"/>
  <c r="J73" i="5" s="1"/>
  <c r="C13" i="6" s="1"/>
  <c r="C13" i="8" s="1"/>
  <c r="I72" i="5"/>
  <c r="J72" i="5" s="1"/>
  <c r="J71" i="5"/>
  <c r="B13" i="6" s="1"/>
  <c r="B13" i="8" s="1"/>
  <c r="I71" i="5"/>
  <c r="I70" i="5"/>
  <c r="J70" i="5" s="1"/>
  <c r="J69" i="5"/>
  <c r="I69" i="5"/>
  <c r="I68" i="5"/>
  <c r="J68" i="5" s="1"/>
  <c r="J67" i="5"/>
  <c r="C12" i="6" s="1"/>
  <c r="C12" i="8" s="1"/>
  <c r="I67" i="5"/>
  <c r="I66" i="5"/>
  <c r="J66" i="5" s="1"/>
  <c r="B12" i="6" s="1"/>
  <c r="B12" i="8" s="1"/>
  <c r="J65" i="5"/>
  <c r="D12" i="6" s="1"/>
  <c r="D12" i="8" s="1"/>
  <c r="I65" i="5"/>
  <c r="I64" i="5"/>
  <c r="J64" i="5" s="1"/>
  <c r="J63" i="5"/>
  <c r="I63" i="5"/>
  <c r="I62" i="5"/>
  <c r="J62" i="5" s="1"/>
  <c r="I61" i="5"/>
  <c r="J61" i="5" s="1"/>
  <c r="C11" i="6" s="1"/>
  <c r="C11" i="8" s="1"/>
  <c r="J60" i="5"/>
  <c r="I60" i="5"/>
  <c r="J59" i="5"/>
  <c r="I59" i="5"/>
  <c r="I58" i="5"/>
  <c r="J58" i="5" s="1"/>
  <c r="I57" i="5"/>
  <c r="J57" i="5" s="1"/>
  <c r="J56" i="5"/>
  <c r="B10" i="6" s="1"/>
  <c r="B10" i="8" s="1"/>
  <c r="I56" i="5"/>
  <c r="J55" i="5"/>
  <c r="I55" i="5"/>
  <c r="I54" i="5"/>
  <c r="J54" i="5" s="1"/>
  <c r="I53" i="5"/>
  <c r="J53" i="5" s="1"/>
  <c r="C10" i="6" s="1"/>
  <c r="C10" i="8" s="1"/>
  <c r="I52" i="5"/>
  <c r="J52" i="5" s="1"/>
  <c r="C9" i="6" s="1"/>
  <c r="C9" i="8" s="1"/>
  <c r="J51" i="5"/>
  <c r="I51" i="5"/>
  <c r="I50" i="5"/>
  <c r="J50" i="5" s="1"/>
  <c r="B8" i="6" s="1"/>
  <c r="B8" i="8" s="1"/>
  <c r="I49" i="5"/>
  <c r="J49" i="5" s="1"/>
  <c r="C8" i="6" s="1"/>
  <c r="C8" i="8" s="1"/>
  <c r="I48" i="5"/>
  <c r="J48" i="5" s="1"/>
  <c r="J47" i="5"/>
  <c r="I47" i="5"/>
  <c r="I46" i="5"/>
  <c r="J46" i="5" s="1"/>
  <c r="I45" i="5"/>
  <c r="J45" i="5" s="1"/>
  <c r="I44" i="5"/>
  <c r="J44" i="5" s="1"/>
  <c r="D7" i="6" s="1"/>
  <c r="D7" i="8" s="1"/>
  <c r="J43" i="5"/>
  <c r="I43" i="5"/>
  <c r="I42" i="5"/>
  <c r="J42" i="5" s="1"/>
  <c r="I41" i="5"/>
  <c r="J41" i="5" s="1"/>
  <c r="I40" i="5"/>
  <c r="J40" i="5" s="1"/>
  <c r="J39" i="5"/>
  <c r="I39" i="5"/>
  <c r="I38" i="5"/>
  <c r="J38" i="5" s="1"/>
  <c r="D6" i="6" s="1"/>
  <c r="D6" i="8" s="1"/>
  <c r="J37" i="5"/>
  <c r="I37" i="5"/>
  <c r="I36" i="5"/>
  <c r="J36" i="5" s="1"/>
  <c r="C6" i="6" s="1"/>
  <c r="C6" i="8" s="1"/>
  <c r="J35" i="5"/>
  <c r="I35" i="5"/>
  <c r="I34" i="5"/>
  <c r="J34" i="5" s="1"/>
  <c r="J33" i="5"/>
  <c r="I33" i="5"/>
  <c r="I32" i="5"/>
  <c r="J32" i="5" s="1"/>
  <c r="D5" i="6" s="1"/>
  <c r="D5" i="8" s="1"/>
  <c r="J31" i="5"/>
  <c r="I31" i="5"/>
  <c r="I30" i="5"/>
  <c r="J30" i="5" s="1"/>
  <c r="I29" i="5"/>
  <c r="J29" i="5" s="1"/>
  <c r="I28" i="5"/>
  <c r="J28" i="5" s="1"/>
  <c r="J27" i="5"/>
  <c r="I27" i="5"/>
  <c r="I26" i="5"/>
  <c r="J26" i="5" s="1"/>
  <c r="D4" i="6" s="1"/>
  <c r="D4" i="8" s="1"/>
  <c r="I25" i="5"/>
  <c r="J25" i="5" s="1"/>
  <c r="B4" i="6" s="1"/>
  <c r="B4" i="8" s="1"/>
  <c r="B7" i="10" s="1"/>
  <c r="J24" i="5"/>
  <c r="I24" i="5"/>
  <c r="J23" i="5"/>
  <c r="I23" i="5"/>
  <c r="I22" i="5"/>
  <c r="J22" i="5" s="1"/>
  <c r="C3" i="6" s="1"/>
  <c r="C3" i="8" s="1"/>
  <c r="I21" i="5"/>
  <c r="J21" i="5" s="1"/>
  <c r="I20" i="5"/>
  <c r="J20" i="5" s="1"/>
  <c r="C2" i="6" s="1"/>
  <c r="J19" i="5"/>
  <c r="I19" i="5"/>
  <c r="I18" i="5"/>
  <c r="J18" i="5" s="1"/>
  <c r="I17" i="5"/>
  <c r="J17" i="5" s="1"/>
  <c r="I16" i="5"/>
  <c r="J16" i="5" s="1"/>
  <c r="A25" i="4"/>
  <c r="A24" i="4"/>
  <c r="A23" i="4"/>
  <c r="A22" i="4"/>
  <c r="A21" i="4"/>
  <c r="E16" i="4"/>
  <c r="B16" i="4"/>
  <c r="C16" i="4" s="1"/>
  <c r="E15" i="4"/>
  <c r="C15" i="4"/>
  <c r="B15" i="4"/>
  <c r="E14" i="4"/>
  <c r="B14" i="4"/>
  <c r="C14" i="4" s="1"/>
  <c r="E13" i="4"/>
  <c r="C13" i="4"/>
  <c r="B13" i="4"/>
  <c r="E12" i="4"/>
  <c r="B12" i="4"/>
  <c r="C12" i="4" s="1"/>
  <c r="G61" i="3"/>
  <c r="G60" i="3"/>
  <c r="G59" i="3"/>
  <c r="G58" i="3"/>
  <c r="G57" i="3"/>
  <c r="G56" i="3"/>
  <c r="G55" i="3"/>
  <c r="G54" i="3"/>
  <c r="G53" i="3"/>
  <c r="G52" i="3"/>
  <c r="G51" i="3"/>
  <c r="G50" i="3"/>
  <c r="G49" i="3"/>
  <c r="G48" i="3"/>
  <c r="G47" i="3"/>
  <c r="G46" i="3"/>
  <c r="G45" i="3"/>
  <c r="G44" i="3"/>
  <c r="G43" i="3"/>
  <c r="G42" i="3"/>
  <c r="G41" i="3"/>
  <c r="G40" i="3"/>
  <c r="G39" i="3"/>
  <c r="G38" i="3"/>
  <c r="G37" i="3"/>
  <c r="G36" i="3"/>
  <c r="D13" i="4" s="1"/>
  <c r="B22" i="4" s="1"/>
  <c r="G35" i="3"/>
  <c r="G34" i="3"/>
  <c r="G33" i="3"/>
  <c r="G32" i="3"/>
  <c r="G31" i="3"/>
  <c r="G30" i="3"/>
  <c r="G29" i="3"/>
  <c r="G28" i="3"/>
  <c r="G27" i="3"/>
  <c r="G26" i="3"/>
  <c r="G25" i="3"/>
  <c r="G24" i="3"/>
  <c r="G23" i="3"/>
  <c r="G22" i="3"/>
  <c r="G21" i="3"/>
  <c r="G20" i="3"/>
  <c r="G19" i="3"/>
  <c r="D12" i="4" s="1"/>
  <c r="B21" i="4" s="1"/>
  <c r="G18" i="3"/>
  <c r="G17" i="3"/>
  <c r="G16" i="3"/>
  <c r="G15" i="3"/>
  <c r="G14" i="3"/>
  <c r="G13" i="3"/>
  <c r="G12" i="3"/>
  <c r="D16" i="4" s="1"/>
  <c r="B25" i="4" s="1"/>
  <c r="G11" i="3"/>
  <c r="D15" i="4" s="1"/>
  <c r="B24" i="4" s="1"/>
  <c r="G10" i="3"/>
  <c r="G9" i="3"/>
  <c r="G8" i="3"/>
  <c r="G7" i="3"/>
  <c r="G6" i="3"/>
  <c r="G5" i="3"/>
  <c r="G4" i="3"/>
  <c r="G3" i="3"/>
  <c r="D14" i="4" s="1"/>
  <c r="B23" i="4" s="1"/>
  <c r="G2" i="3"/>
  <c r="C12" i="7" l="1"/>
  <c r="D12" i="7" s="1"/>
  <c r="F12" i="8" s="1"/>
  <c r="C10" i="7"/>
  <c r="D10" i="7" s="1"/>
  <c r="F10" i="8" s="1"/>
  <c r="C5" i="7"/>
  <c r="D5" i="7" s="1"/>
  <c r="F5" i="8" s="1"/>
  <c r="C2" i="7"/>
  <c r="D2" i="7" s="1"/>
  <c r="F2" i="8" s="1"/>
  <c r="C7" i="7"/>
  <c r="D7" i="7" s="1"/>
  <c r="F7" i="8" s="1"/>
  <c r="C10" i="10" s="1"/>
  <c r="C9" i="7"/>
  <c r="D9" i="7" s="1"/>
  <c r="F9" i="8" s="1"/>
  <c r="C11" i="7"/>
  <c r="D11" i="7" s="1"/>
  <c r="F11" i="8" s="1"/>
  <c r="C14" i="10" s="1"/>
  <c r="C13" i="7"/>
  <c r="D13" i="7" s="1"/>
  <c r="F13" i="8" s="1"/>
  <c r="C16" i="10" s="1"/>
  <c r="C4" i="7"/>
  <c r="D4" i="7" s="1"/>
  <c r="F4" i="8" s="1"/>
  <c r="C6" i="7"/>
  <c r="D6" i="7" s="1"/>
  <c r="F6" i="8" s="1"/>
  <c r="C8" i="7"/>
  <c r="D8" i="7" s="1"/>
  <c r="F8" i="8" s="1"/>
  <c r="C3" i="7"/>
  <c r="D3" i="7" s="1"/>
  <c r="F3" i="8" s="1"/>
  <c r="I5" i="12"/>
  <c r="B15" i="10"/>
  <c r="B13" i="10"/>
  <c r="B2" i="6"/>
  <c r="B6" i="6"/>
  <c r="B6" i="8" s="1"/>
  <c r="B9" i="10" s="1"/>
  <c r="F13" i="7"/>
  <c r="G13" i="8" s="1"/>
  <c r="B8" i="10"/>
  <c r="I3" i="12"/>
  <c r="C2" i="8"/>
  <c r="B7" i="6"/>
  <c r="B7" i="8" s="1"/>
  <c r="B10" i="10" s="1"/>
  <c r="B11" i="10"/>
  <c r="B3" i="6"/>
  <c r="B3" i="8" s="1"/>
  <c r="B6" i="10" s="1"/>
  <c r="D10" i="6"/>
  <c r="D10" i="8" s="1"/>
  <c r="D13" i="6"/>
  <c r="D13" i="8" s="1"/>
  <c r="B16" i="10" s="1"/>
  <c r="D16" i="10" s="1"/>
  <c r="E12" i="7"/>
  <c r="F12" i="7" s="1"/>
  <c r="G12" i="8" s="1"/>
  <c r="E10" i="7"/>
  <c r="F10" i="7" s="1"/>
  <c r="G10" i="8" s="1"/>
  <c r="E8" i="7"/>
  <c r="F8" i="7" s="1"/>
  <c r="G8" i="8" s="1"/>
  <c r="E6" i="7"/>
  <c r="F6" i="7" s="1"/>
  <c r="G6" i="8" s="1"/>
  <c r="E4" i="7"/>
  <c r="F4" i="7" s="1"/>
  <c r="G4" i="8" s="1"/>
  <c r="E2" i="7"/>
  <c r="F2" i="7" s="1"/>
  <c r="G2" i="8" s="1"/>
  <c r="E3" i="7"/>
  <c r="F3" i="7" s="1"/>
  <c r="G3" i="8" s="1"/>
  <c r="E11" i="7"/>
  <c r="F11" i="7" s="1"/>
  <c r="G11" i="8" s="1"/>
  <c r="B11" i="6"/>
  <c r="B11" i="8" s="1"/>
  <c r="B14" i="10" s="1"/>
  <c r="D14" i="10" s="1"/>
  <c r="E9" i="7"/>
  <c r="F9" i="7" s="1"/>
  <c r="G9" i="8" s="1"/>
  <c r="E5" i="7"/>
  <c r="F5" i="7" s="1"/>
  <c r="G5" i="8" s="1"/>
  <c r="E7" i="7"/>
  <c r="F7" i="7" s="1"/>
  <c r="G7" i="8" s="1"/>
  <c r="D15" i="10" l="1"/>
  <c r="C6" i="10"/>
  <c r="D6" i="10" s="1"/>
  <c r="C5" i="10"/>
  <c r="C11" i="10"/>
  <c r="D11" i="10" s="1"/>
  <c r="C8" i="10"/>
  <c r="D8" i="10" s="1"/>
  <c r="I4" i="12"/>
  <c r="C12" i="10"/>
  <c r="D12" i="10" s="1"/>
  <c r="I2" i="12"/>
  <c r="B2" i="8"/>
  <c r="B5" i="10" s="1"/>
  <c r="C9" i="10"/>
  <c r="D9" i="10" s="1"/>
  <c r="C13" i="10"/>
  <c r="D13" i="10" s="1"/>
  <c r="D10" i="10"/>
  <c r="C7" i="10"/>
  <c r="D7" i="10" s="1"/>
  <c r="C15" i="10"/>
  <c r="A20" i="10" l="1"/>
  <c r="I2" i="15" s="1"/>
  <c r="D5" i="10"/>
  <c r="G20" i="10" s="1"/>
  <c r="J25" i="10"/>
  <c r="E20" i="10"/>
  <c r="C20" i="10"/>
  <c r="I3" i="15" s="1"/>
</calcChain>
</file>

<file path=xl/sharedStrings.xml><?xml version="1.0" encoding="utf-8"?>
<sst xmlns="http://schemas.openxmlformats.org/spreadsheetml/2006/main" count="733" uniqueCount="219">
  <si>
    <t>Purpose</t>
  </si>
  <si>
    <t>Method</t>
  </si>
  <si>
    <t>Staff &amp; Student Commuting Survey</t>
  </si>
  <si>
    <t>~3 minutes · anonymous · used only to estimate typical commuting patterns for sustainability reporting</t>
  </si>
  <si>
    <t>Q1</t>
  </si>
  <si>
    <t>Are you staff or a student?</t>
  </si>
  <si>
    <t>Options: Staff / Student</t>
  </si>
  <si>
    <t>Q2</t>
  </si>
  <si>
    <t>Roughly how far is your home from campus (one way)?</t>
  </si>
  <si>
    <t>Options: &lt;2 km / 2–5 km / 5–10 km / 10–20 km / &gt;20 km</t>
  </si>
  <si>
    <t>Q3</t>
  </si>
  <si>
    <t>What is your usual way of getting to campus?</t>
  </si>
  <si>
    <t>Options: Walk or cycle / Public transport / Car (drive alone) / Car share / Mixed — depends on day</t>
  </si>
  <si>
    <t>Q4</t>
  </si>
  <si>
    <t>On a typical week, how many days do you come to campus?</t>
  </si>
  <si>
    <t>Options: 1 / 2 / 3 / 4 / 5</t>
  </si>
  <si>
    <t>Q5</t>
  </si>
  <si>
    <t>Anything that affects your travel choice seasonally? (optional)</t>
  </si>
  <si>
    <t>Options: Free text, e.g. "cycles in summer, bus in winter"</t>
  </si>
  <si>
    <t>Note: distance bands and mode categories (not exact km) are deliberately used — this is what respondents can answer reliably; km-level assumptions are derived afterwards, transparently, in tab 03.</t>
  </si>
  <si>
    <t>Respondent ID</t>
  </si>
  <si>
    <t>Role</t>
  </si>
  <si>
    <t>Home distance band</t>
  </si>
  <si>
    <t>Usual commute mode</t>
  </si>
  <si>
    <t>Days on campus/week</t>
  </si>
  <si>
    <t>Notes</t>
  </si>
  <si>
    <t>Est. one-way km</t>
  </si>
  <si>
    <t>Staff</t>
  </si>
  <si>
    <t>10-20 km</t>
  </si>
  <si>
    <t>Walk or cycle</t>
  </si>
  <si>
    <t>Car (drive alone)</t>
  </si>
  <si>
    <t>&lt;2 km</t>
  </si>
  <si>
    <t>2-5 km</t>
  </si>
  <si>
    <t>Car share</t>
  </si>
  <si>
    <t>5-10 km</t>
  </si>
  <si>
    <t>Public transport</t>
  </si>
  <si>
    <t>Mixed</t>
  </si>
  <si>
    <t>Cycles in summer, public transport in winter</t>
  </si>
  <si>
    <t>&gt;20 km</t>
  </si>
  <si>
    <t>Student</t>
  </si>
  <si>
    <t>Drives when raining heavily</t>
  </si>
  <si>
    <t>n = 60 respondents (16 staff, 44 students) — illustrative synthetic sample.</t>
  </si>
  <si>
    <t>Distance-band lookup (km midpoint used for estimation)</t>
  </si>
  <si>
    <t>Band</t>
  </si>
  <si>
    <t>Midpoint one-way (km)</t>
  </si>
  <si>
    <t>Mode assumptions, derived from the survey (tab 02)</t>
  </si>
  <si>
    <t>Mode</t>
  </si>
  <si>
    <t>Respondents</t>
  </si>
  <si>
    <t>Mode share (%)</t>
  </si>
  <si>
    <t>Avg one-way km</t>
  </si>
  <si>
    <t>Avg days/week</t>
  </si>
  <si>
    <t>Monthly km per person, by mode (round trip x avg days/week x 4.345 weeks/month)</t>
  </si>
  <si>
    <t>Monthly km / person</t>
  </si>
  <si>
    <t>Note: "Walk or cycle" and "Mixed" are tracked for completeness but carry no direct emissions factor in this illustrative model (active travel = 0; "Mixed" is treated as non-motorised for screening purposes). Car share is scaled at 0.5 passengers-worth of car km per person to reflect shared occupancy.</t>
  </si>
  <si>
    <t>Destination distance lookup (one-way km from campus)</t>
  </si>
  <si>
    <t>Destination</t>
  </si>
  <si>
    <t>One-way km</t>
  </si>
  <si>
    <t>London</t>
  </si>
  <si>
    <t>Manchester</t>
  </si>
  <si>
    <t>Leeds</t>
  </si>
  <si>
    <t>Brussels</t>
  </si>
  <si>
    <t>Amsterdam</t>
  </si>
  <si>
    <t>Paris</t>
  </si>
  <si>
    <t>Berlin</t>
  </si>
  <si>
    <t>Zurich</t>
  </si>
  <si>
    <t>Edinburgh</t>
  </si>
  <si>
    <t>Dublin</t>
  </si>
  <si>
    <t>Trip ID</t>
  </si>
  <si>
    <t>Date</t>
  </si>
  <si>
    <t>Month</t>
  </si>
  <si>
    <t>Department</t>
  </si>
  <si>
    <t>Travellers</t>
  </si>
  <si>
    <t>Round-trip pax-km</t>
  </si>
  <si>
    <t>Hotel nights</t>
  </si>
  <si>
    <t>2026-01-26</t>
  </si>
  <si>
    <t>Jan</t>
  </si>
  <si>
    <t>Estates</t>
  </si>
  <si>
    <t>Recruitment fair</t>
  </si>
  <si>
    <t>Air</t>
  </si>
  <si>
    <t>2026-01-07</t>
  </si>
  <si>
    <t>Admin</t>
  </si>
  <si>
    <t>Conference</t>
  </si>
  <si>
    <t>2026-01-11</t>
  </si>
  <si>
    <t>Research</t>
  </si>
  <si>
    <t>Site visit</t>
  </si>
  <si>
    <t>Rail</t>
  </si>
  <si>
    <t>2026-01-06</t>
  </si>
  <si>
    <t>Engineering</t>
  </si>
  <si>
    <t>2026-01-08</t>
  </si>
  <si>
    <t>Partner meeting</t>
  </si>
  <si>
    <t>2026-02-14</t>
  </si>
  <si>
    <t>Feb</t>
  </si>
  <si>
    <t>2026-02-23</t>
  </si>
  <si>
    <t>Fieldwork</t>
  </si>
  <si>
    <t>2026-02-15</t>
  </si>
  <si>
    <t>2026-02-04</t>
  </si>
  <si>
    <t>2026-03-03</t>
  </si>
  <si>
    <t>Mar</t>
  </si>
  <si>
    <t>2026-03-10</t>
  </si>
  <si>
    <t>Car</t>
  </si>
  <si>
    <t>2026-03-05</t>
  </si>
  <si>
    <t>2026-03-07</t>
  </si>
  <si>
    <t>2026-03-02</t>
  </si>
  <si>
    <t>Student Recruitment</t>
  </si>
  <si>
    <t>2026-03-21</t>
  </si>
  <si>
    <t>2026-04-04</t>
  </si>
  <si>
    <t>Apr</t>
  </si>
  <si>
    <t>2026-04-05</t>
  </si>
  <si>
    <t>2026-04-02</t>
  </si>
  <si>
    <t>2026-04-14</t>
  </si>
  <si>
    <t>2026-05-04</t>
  </si>
  <si>
    <t>May</t>
  </si>
  <si>
    <t>2026-05-12</t>
  </si>
  <si>
    <t>2026-05-09</t>
  </si>
  <si>
    <t>2026-05-18</t>
  </si>
  <si>
    <t>2026-05-14</t>
  </si>
  <si>
    <t>2026-06-02</t>
  </si>
  <si>
    <t>Jun</t>
  </si>
  <si>
    <t>2026-06-24</t>
  </si>
  <si>
    <t>2026-06-20</t>
  </si>
  <si>
    <t>2026-06-13</t>
  </si>
  <si>
    <t>2026-06-22</t>
  </si>
  <si>
    <t>2026-06-10</t>
  </si>
  <si>
    <t>2026-06-15</t>
  </si>
  <si>
    <t>2026-07-24</t>
  </si>
  <si>
    <t>Jul</t>
  </si>
  <si>
    <t>2026-07-03</t>
  </si>
  <si>
    <t>2026-08-16</t>
  </si>
  <si>
    <t>Aug</t>
  </si>
  <si>
    <t>2026-08-23</t>
  </si>
  <si>
    <t>2026-09-25</t>
  </si>
  <si>
    <t>Sep</t>
  </si>
  <si>
    <t>2026-09-15</t>
  </si>
  <si>
    <t>2026-09-17</t>
  </si>
  <si>
    <t>2026-09-09</t>
  </si>
  <si>
    <t>2026-09-03</t>
  </si>
  <si>
    <t>2026-10-05</t>
  </si>
  <si>
    <t>Oct</t>
  </si>
  <si>
    <t>2026-10-14</t>
  </si>
  <si>
    <t>2026-10-25</t>
  </si>
  <si>
    <t>2026-10-10</t>
  </si>
  <si>
    <t>2026-10-16</t>
  </si>
  <si>
    <t>2026-10-22</t>
  </si>
  <si>
    <t>2026-11-13</t>
  </si>
  <si>
    <t>Nov</t>
  </si>
  <si>
    <t>2026-11-02</t>
  </si>
  <si>
    <t>2026-11-25</t>
  </si>
  <si>
    <t>2026-12-16</t>
  </si>
  <si>
    <t>Dec</t>
  </si>
  <si>
    <t>2026-12-06</t>
  </si>
  <si>
    <t>2026-12-01</t>
  </si>
  <si>
    <t>2026-12-19</t>
  </si>
  <si>
    <t>2026-12-21</t>
  </si>
  <si>
    <t>n = 60 trips — illustrative synthetic booking export. Distance is looked up from destination, not typed per trip.</t>
  </si>
  <si>
    <t>Flights (pax-km)</t>
  </si>
  <si>
    <t>Rail (pax-km)</t>
  </si>
  <si>
    <t>Car (pax-km)</t>
  </si>
  <si>
    <t>Trip count</t>
  </si>
  <si>
    <t>Occupied FTE</t>
  </si>
  <si>
    <t>Car commuters (est.)</t>
  </si>
  <si>
    <t>Car km (monthly)</t>
  </si>
  <si>
    <t>Public transport commuters (est.)</t>
  </si>
  <si>
    <t>Public transport km (monthly)</t>
  </si>
  <si>
    <t>Row references: 03_Commuting Assumptions row 13 = Public transport mode share; row 14 = Car (drive alone) mode share; row 22 = Public transport monthly km/person; row 23 = Car monthly km/person.</t>
  </si>
  <si>
    <t>Business flights (pax-km)</t>
  </si>
  <si>
    <t>Business rail (pax-km)</t>
  </si>
  <si>
    <t>Business car (pax-km)</t>
  </si>
  <si>
    <t>Business hotel nights</t>
  </si>
  <si>
    <t>Commuting car (km)</t>
  </si>
  <si>
    <t>Commuting public transport (km)</t>
  </si>
  <si>
    <t>Same shape as the main travel-analysis workbook's 01_Raw Data tab, plus two new commuting columns — ready to carry emission factors below.</t>
  </si>
  <si>
    <t>Activity</t>
  </si>
  <si>
    <t>Unit</t>
  </si>
  <si>
    <t>Illustrative factor</t>
  </si>
  <si>
    <t>Business air travel</t>
  </si>
  <si>
    <t>kgCO2e/passenger-km</t>
  </si>
  <si>
    <t>Illustrative screening factor; no radiative-forcing uplift</t>
  </si>
  <si>
    <t>Business rail</t>
  </si>
  <si>
    <t>Illustrative screening factor</t>
  </si>
  <si>
    <t>Business car</t>
  </si>
  <si>
    <t>Hotel</t>
  </si>
  <si>
    <t>kgCO2e/night</t>
  </si>
  <si>
    <t>Commuting car</t>
  </si>
  <si>
    <t>kgCO2e/km</t>
  </si>
  <si>
    <t>Slightly below business-car factor to reflect typical commute vehicle mix</t>
  </si>
  <si>
    <t>Commuting public transport</t>
  </si>
  <si>
    <t>Illustrative bus/rail blended factor</t>
  </si>
  <si>
    <t>Important</t>
  </si>
  <si>
    <t>Replace illustrative factors with the agreed methodology/source factors for real client work.</t>
  </si>
  <si>
    <t>University Travel — Commuting vs. Business Travel</t>
  </si>
  <si>
    <t>Illustrative management dashboard — synthetic data</t>
  </si>
  <si>
    <t>Business emissions (tCO2e)</t>
  </si>
  <si>
    <t>Commuting emissions (tCO2e)</t>
  </si>
  <si>
    <t>Total (tCO2e)</t>
  </si>
  <si>
    <t>ANNUAL BUSINESS-TRAVEL EMISSIONS (tCO2e)</t>
  </si>
  <si>
    <t>ANNUAL COMMUTING EMISSIONS (tCO2e)</t>
  </si>
  <si>
    <t>COMMUTING SHARE OF TOTAL</t>
  </si>
  <si>
    <t>TOTAL TRAVEL EMISSIONS (tCO2e)</t>
  </si>
  <si>
    <t>Key insight</t>
  </si>
  <si>
    <t>Recommendations</t>
  </si>
  <si>
    <t>• Repeat the commuting survey annually (or termly) to track mode shift, not just a one-off snapshot.</t>
  </si>
  <si>
    <t>• Validate the distance-band assumptions against postcode-level data if/when available, rather than self-reported bands alone.</t>
  </si>
  <si>
    <t>• Extend the questionnaire to capture EV/hybrid ownership if car-commuting emissions become a target for reduction.</t>
  </si>
  <si>
    <t>• Treat the business-trip Distance lookup table as living reference data — update it whenever a new regular destination appears.</t>
  </si>
  <si>
    <t>Annual tCO2e</t>
  </si>
  <si>
    <t>Category</t>
  </si>
  <si>
    <t>tCO2e</t>
  </si>
  <si>
    <t>Business travel (booked)</t>
  </si>
  <si>
    <t>Commuting (surveyed)</t>
  </si>
  <si>
    <t>ILLUSTRATIVE PORTFOLIO SAMPLE: synthetic data for demonstration</t>
  </si>
  <si>
    <t>University Travel - Survey &amp; Business-Trip Data Collection</t>
  </si>
  <si>
    <t>Shows how the two travel activities a university actually needs to estimate, everyday staff/student commuting (no booking system exists for this) and business travel (which does have a booking trail) are built up from primary data rather than assumed.</t>
  </si>
  <si>
    <t>1. Commuting questionnaire : a short survey (tab 01) is circulated to staff and students. It captures categorical, easy-to-answer information (a distance band, a usual mode, days on campus) rather than exact km, because that is what people can answer accurately.</t>
  </si>
  <si>
    <t>2. Survey responses : raw, respondent-level answers are logged as-is (tab 02). This is qualitative/categorical data: nothing is calculated yet.</t>
  </si>
  <si>
    <t>3. Interpretation into assumptions : tab 03 turns the categorical answers into quantitative assumptions (mode share %, average one-way km per mode, average days/week per mode) using a transparent distance-band lookup.</t>
  </si>
  <si>
    <t>4. Business-trip bookings : the university's actual travel-booking export (tab 04): one row per trip, with destination, date and mode. Distance is looked up from a destination table, not estimated.</t>
  </si>
  <si>
    <t>5. Monthly aggregation : tab 05 rolls the raw bookings up into monthly totals by mode. Tab 06 turns the commuting assumptions into a monthly estimate by applying them to each month's occupied FTE (so vacation months automatically show less commuting).</t>
  </si>
  <si>
    <t>6. Combined monthly activity : tab 07 merges both monthly tables into one activity dataset in the same shape as the main travel-analysis workbook's Raw Data tab, ready to carry emission factors.</t>
  </si>
  <si>
    <t>7. Emissions &amp; KPIs : tab 08 holds the factors, tab 09 the resulting KPIs and dashboard.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</si>
</sst>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"/>
    <numFmt numFmtId="165" formatCode="0.0%"/>
  </numFmts>
  <fonts count="18" x14ac:knownFonts="1">
    <font>
      <sz val="11"/>
      <color theme="1"/>
      <name val="Calibri"/>
      <family val="2"/>
      <charset val="1"/>
    </font>
    <font>
      <sz val="11"/>
      <color theme="1"/>
      <name val="Calibri"/>
      <family val="2"/>
      <scheme val="minor"/>
    </font>
    <font>
      <b/>
      <sz val="16"/>
      <color rgb="FF1F4E79"/>
      <name val="Arial"/>
      <family val="2"/>
    </font>
    <font>
      <i/>
      <sz val="10"/>
      <color rgb="FF666666"/>
      <name val="Arial"/>
      <family val="2"/>
    </font>
    <font>
      <b/>
      <sz val="12"/>
      <color rgb="FF1F4E79"/>
      <name val="Arial"/>
      <family val="2"/>
    </font>
    <font>
      <sz val="10"/>
      <name val="Arial"/>
      <family val="2"/>
    </font>
    <font>
      <b/>
      <sz val="11"/>
      <color rgb="FF1F4E79"/>
      <name val="Arial"/>
      <family val="2"/>
    </font>
    <font>
      <b/>
      <sz val="11"/>
      <name val="Arial"/>
      <family val="2"/>
    </font>
    <font>
      <i/>
      <sz val="9"/>
      <color rgb="FF888888"/>
      <name val="Arial"/>
      <family val="2"/>
    </font>
    <font>
      <b/>
      <sz val="10"/>
      <color rgb="FFFFFFFF"/>
      <name val="Arial"/>
      <family val="2"/>
    </font>
    <font>
      <i/>
      <sz val="8"/>
      <color rgb="FF888888"/>
      <name val="Arial"/>
      <family val="2"/>
    </font>
    <font>
      <sz val="10"/>
      <color rgb="FF0000FF"/>
      <name val="Arial"/>
      <family val="2"/>
    </font>
    <font>
      <b/>
      <sz val="10"/>
      <color rgb="FFC00000"/>
      <name val="Arial"/>
      <family val="2"/>
    </font>
    <font>
      <i/>
      <sz val="9"/>
      <name val="Arial"/>
      <family val="2"/>
    </font>
    <font>
      <sz val="9"/>
      <color rgb="FF666666"/>
      <name val="Arial"/>
      <family val="2"/>
    </font>
    <font>
      <b/>
      <sz val="18"/>
      <color rgb="FF1F4E79"/>
      <name val="Arial"/>
      <family val="2"/>
    </font>
    <font>
      <b/>
      <sz val="12"/>
      <color rgb="FF1F4E79"/>
      <name val="Calibri"/>
      <family val="2"/>
      <scheme val="minor"/>
    </font>
    <font>
      <sz val="1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1F4E79"/>
        <bgColor rgb="FF003366"/>
      </patternFill>
    </fill>
    <fill>
      <patternFill patternType="solid">
        <fgColor rgb="FFF2F2F2"/>
        <bgColor rgb="FFF9F9F9"/>
      </patternFill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31">
    <xf numFmtId="0" fontId="0" fillId="0" borderId="0" xfId="0"/>
    <xf numFmtId="0" fontId="5" fillId="0" borderId="0" xfId="0" applyFont="1" applyBorder="1" applyAlignment="1">
      <alignment wrapText="1"/>
    </xf>
    <xf numFmtId="0" fontId="14" fillId="3" borderId="1" xfId="0" applyFont="1" applyFill="1" applyBorder="1" applyAlignment="1">
      <alignment wrapText="1"/>
    </xf>
    <xf numFmtId="0" fontId="4" fillId="0" borderId="0" xfId="0" applyFont="1" applyBorder="1"/>
    <xf numFmtId="0" fontId="8" fillId="0" borderId="0" xfId="0" applyFont="1" applyBorder="1"/>
    <xf numFmtId="0" fontId="3" fillId="0" borderId="0" xfId="0" applyFont="1" applyBorder="1"/>
    <xf numFmtId="0" fontId="7" fillId="0" borderId="0" xfId="0" applyFont="1" applyBorder="1"/>
    <xf numFmtId="0" fontId="5" fillId="0" borderId="0" xfId="0" applyFont="1" applyBorder="1"/>
    <xf numFmtId="0" fontId="2" fillId="0" borderId="0" xfId="0" applyFont="1"/>
    <xf numFmtId="0" fontId="3" fillId="0" borderId="0" xfId="0" applyFont="1"/>
    <xf numFmtId="0" fontId="4" fillId="0" borderId="0" xfId="0" applyFont="1"/>
    <xf numFmtId="0" fontId="6" fillId="0" borderId="0" xfId="0" applyFont="1"/>
    <xf numFmtId="0" fontId="9" fillId="2" borderId="1" xfId="0" applyFont="1" applyFill="1" applyBorder="1" applyAlignment="1">
      <alignment horizontal="center" vertical="center" wrapText="1"/>
    </xf>
    <xf numFmtId="0" fontId="9" fillId="2" borderId="0" xfId="0" applyFont="1" applyFill="1"/>
    <xf numFmtId="0" fontId="5" fillId="0" borderId="1" xfId="0" applyFont="1" applyBorder="1"/>
    <xf numFmtId="164" fontId="0" fillId="0" borderId="1" xfId="0" applyNumberFormat="1" applyBorder="1"/>
    <xf numFmtId="0" fontId="10" fillId="0" borderId="0" xfId="0" applyFont="1"/>
    <xf numFmtId="0" fontId="11" fillId="0" borderId="1" xfId="0" applyFont="1" applyBorder="1"/>
    <xf numFmtId="165" fontId="5" fillId="0" borderId="1" xfId="0" applyNumberFormat="1" applyFont="1" applyBorder="1"/>
    <xf numFmtId="164" fontId="5" fillId="0" borderId="1" xfId="0" applyNumberFormat="1" applyFont="1" applyBorder="1"/>
    <xf numFmtId="1" fontId="5" fillId="0" borderId="1" xfId="0" applyNumberFormat="1" applyFont="1" applyBorder="1"/>
    <xf numFmtId="3" fontId="5" fillId="0" borderId="1" xfId="0" applyNumberFormat="1" applyFont="1" applyBorder="1"/>
    <xf numFmtId="0" fontId="12" fillId="0" borderId="0" xfId="0" applyFont="1"/>
    <xf numFmtId="0" fontId="13" fillId="0" borderId="0" xfId="0" applyFont="1"/>
    <xf numFmtId="164" fontId="15" fillId="3" borderId="1" xfId="0" applyNumberFormat="1" applyFont="1" applyFill="1" applyBorder="1"/>
    <xf numFmtId="0" fontId="0" fillId="3" borderId="1" xfId="0" applyFill="1" applyBorder="1"/>
    <xf numFmtId="165" fontId="15" fillId="3" borderId="1" xfId="0" applyNumberFormat="1" applyFont="1" applyFill="1" applyBorder="1"/>
    <xf numFmtId="164" fontId="0" fillId="0" borderId="0" xfId="0" applyNumberFormat="1"/>
    <xf numFmtId="0" fontId="16" fillId="0" borderId="0" xfId="0" applyFont="1" applyAlignment="1">
      <alignment wrapText="1"/>
    </xf>
    <xf numFmtId="0" fontId="17" fillId="0" borderId="0" xfId="0" applyFont="1" applyBorder="1" applyAlignment="1">
      <alignment wrapText="1"/>
    </xf>
    <xf numFmtId="0" fontId="1" fillId="0" borderId="0" xfId="0" applyFont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C0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666666"/>
      <rgbColor rgb="FF800080"/>
      <rgbColor rgb="FF008080"/>
      <rgbColor rgb="FFBFBFBF"/>
      <rgbColor rgb="FF878787"/>
      <rgbColor rgb="FF9999FF"/>
      <rgbColor rgb="FFBE4B48"/>
      <rgbColor rgb="FFF9F9F9"/>
      <rgbColor rgb="FFF2F2F2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BBB59"/>
      <rgbColor rgb="FFFF99CC"/>
      <rgbColor rgb="FFCC99FF"/>
      <rgbColor rgb="FFFFCC99"/>
      <rgbColor rgb="FF4A7EBB"/>
      <rgbColor rgb="FF4BACC6"/>
      <rgbColor rgb="FF98B855"/>
      <rgbColor rgb="FFFFCC00"/>
      <rgbColor rgb="FFFF9900"/>
      <rgbColor rgb="FFFF6600"/>
      <rgbColor rgb="FF8064A2"/>
      <rgbColor rgb="FF888888"/>
      <rgbColor rgb="FF003366"/>
      <rgbColor rgb="FF4F81BD"/>
      <rgbColor rgb="FF003300"/>
      <rgbColor rgb="FF333300"/>
      <rgbColor rgb="FF993300"/>
      <rgbColor rgb="FFC0504D"/>
      <rgbColor rgb="FF1F4E7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6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/>
          <a:lstStyle/>
          <a:p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lang="en-US" sz="1800" b="1" strike="noStrike" spc="-1">
                <a:solidFill>
                  <a:srgbClr val="000000"/>
                </a:solidFill>
                <a:latin typeface="Calibri"/>
              </a:rPr>
              <a:t>Commuting mode share, by survey respondent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pieChart>
        <c:varyColors val="1"/>
        <c:ser>
          <c:idx val="0"/>
          <c:order val="0"/>
          <c:tx>
            <c:strRef>
              <c:f>'03_Commuting Assumptions'!$B$11</c:f>
              <c:strCache>
                <c:ptCount val="1"/>
                <c:pt idx="0">
                  <c:v>Respondents</c:v>
                </c:pt>
              </c:strCache>
            </c:strRef>
          </c:tx>
          <c:spPr>
            <a:solidFill>
              <a:srgbClr val="4F81BD"/>
            </a:solidFill>
            <a:ln w="0">
              <a:noFill/>
            </a:ln>
          </c:spPr>
          <c:dPt>
            <c:idx val="0"/>
            <c:bubble3D val="0"/>
            <c:extLst>
              <c:ext xmlns:c16="http://schemas.microsoft.com/office/drawing/2014/chart" uri="{C3380CC4-5D6E-409C-BE32-E72D297353CC}">
                <c16:uniqueId val="{00000000-3B00-4890-9968-7F792AB0A34E}"/>
              </c:ext>
            </c:extLst>
          </c:dPt>
          <c:dPt>
            <c:idx val="1"/>
            <c:bubble3D val="0"/>
            <c:spPr>
              <a:solidFill>
                <a:srgbClr val="C0504D"/>
              </a:solidFill>
              <a:ln w="0">
                <a:noFill/>
              </a:ln>
            </c:spPr>
            <c:extLst>
              <c:ext xmlns:c16="http://schemas.microsoft.com/office/drawing/2014/chart" uri="{C3380CC4-5D6E-409C-BE32-E72D297353CC}">
                <c16:uniqueId val="{00000002-3B00-4890-9968-7F792AB0A34E}"/>
              </c:ext>
            </c:extLst>
          </c:dPt>
          <c:dPt>
            <c:idx val="2"/>
            <c:bubble3D val="0"/>
            <c:spPr>
              <a:solidFill>
                <a:srgbClr val="9BBB59"/>
              </a:solidFill>
              <a:ln w="0">
                <a:noFill/>
              </a:ln>
            </c:spPr>
            <c:extLst>
              <c:ext xmlns:c16="http://schemas.microsoft.com/office/drawing/2014/chart" uri="{C3380CC4-5D6E-409C-BE32-E72D297353CC}">
                <c16:uniqueId val="{00000004-3B00-4890-9968-7F792AB0A34E}"/>
              </c:ext>
            </c:extLst>
          </c:dPt>
          <c:dPt>
            <c:idx val="3"/>
            <c:bubble3D val="0"/>
            <c:spPr>
              <a:solidFill>
                <a:srgbClr val="8064A2"/>
              </a:solidFill>
              <a:ln w="0">
                <a:noFill/>
              </a:ln>
            </c:spPr>
            <c:extLst>
              <c:ext xmlns:c16="http://schemas.microsoft.com/office/drawing/2014/chart" uri="{C3380CC4-5D6E-409C-BE32-E72D297353CC}">
                <c16:uniqueId val="{00000006-3B00-4890-9968-7F792AB0A34E}"/>
              </c:ext>
            </c:extLst>
          </c:dPt>
          <c:dPt>
            <c:idx val="4"/>
            <c:bubble3D val="0"/>
            <c:spPr>
              <a:solidFill>
                <a:srgbClr val="4BACC6"/>
              </a:solidFill>
              <a:ln w="0">
                <a:noFill/>
              </a:ln>
            </c:spPr>
            <c:extLst>
              <c:ext xmlns:c16="http://schemas.microsoft.com/office/drawing/2014/chart" uri="{C3380CC4-5D6E-409C-BE32-E72D297353CC}">
                <c16:uniqueId val="{00000008-3B00-4890-9968-7F792AB0A34E}"/>
              </c:ext>
            </c:extLst>
          </c:dPt>
          <c:dLbls>
            <c:dLbl>
              <c:idx val="0"/>
              <c:spPr/>
              <c:txPr>
                <a:bodyPr wrap="none"/>
                <a:lstStyle/>
                <a:p>
                  <a:pPr>
                    <a:defRPr sz="1000" b="0" strike="noStrike" spc="-1">
                      <a:latin typeface="Arial"/>
                    </a:defRPr>
                  </a:pPr>
                  <a:endParaRPr lang="en-US"/>
                </a:p>
              </c:txPr>
              <c:showLegendKey val="0"/>
              <c:showVal val="0"/>
              <c:showCatName val="0"/>
              <c:showSerName val="0"/>
              <c:showPercent val="0"/>
              <c:showBubbleSiz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3B00-4890-9968-7F792AB0A34E}"/>
                </c:ext>
              </c:extLst>
            </c:dLbl>
            <c:dLbl>
              <c:idx val="1"/>
              <c:spPr/>
              <c:txPr>
                <a:bodyPr wrap="none"/>
                <a:lstStyle/>
                <a:p>
                  <a:pPr>
                    <a:defRPr sz="1000" b="0" strike="noStrike" spc="-1">
                      <a:latin typeface="Arial"/>
                    </a:defRPr>
                  </a:pPr>
                  <a:endParaRPr lang="en-US"/>
                </a:p>
              </c:txPr>
              <c:showLegendKey val="0"/>
              <c:showVal val="0"/>
              <c:showCatName val="0"/>
              <c:showSerName val="0"/>
              <c:showPercent val="0"/>
              <c:showBubbleSiz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3B00-4890-9968-7F792AB0A34E}"/>
                </c:ext>
              </c:extLst>
            </c:dLbl>
            <c:dLbl>
              <c:idx val="2"/>
              <c:spPr/>
              <c:txPr>
                <a:bodyPr wrap="none"/>
                <a:lstStyle/>
                <a:p>
                  <a:pPr>
                    <a:defRPr sz="1000" b="0" strike="noStrike" spc="-1">
                      <a:latin typeface="Arial"/>
                    </a:defRPr>
                  </a:pPr>
                  <a:endParaRPr lang="en-US"/>
                </a:p>
              </c:txPr>
              <c:showLegendKey val="0"/>
              <c:showVal val="0"/>
              <c:showCatName val="0"/>
              <c:showSerName val="0"/>
              <c:showPercent val="0"/>
              <c:showBubbleSiz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4-3B00-4890-9968-7F792AB0A34E}"/>
                </c:ext>
              </c:extLst>
            </c:dLbl>
            <c:dLbl>
              <c:idx val="3"/>
              <c:spPr/>
              <c:txPr>
                <a:bodyPr wrap="none"/>
                <a:lstStyle/>
                <a:p>
                  <a:pPr>
                    <a:defRPr sz="1000" b="0" strike="noStrike" spc="-1">
                      <a:latin typeface="Arial"/>
                    </a:defRPr>
                  </a:pPr>
                  <a:endParaRPr lang="en-US"/>
                </a:p>
              </c:txPr>
              <c:showLegendKey val="0"/>
              <c:showVal val="0"/>
              <c:showCatName val="0"/>
              <c:showSerName val="0"/>
              <c:showPercent val="0"/>
              <c:showBubbleSiz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6-3B00-4890-9968-7F792AB0A34E}"/>
                </c:ext>
              </c:extLst>
            </c:dLbl>
            <c:dLbl>
              <c:idx val="4"/>
              <c:spPr/>
              <c:txPr>
                <a:bodyPr wrap="none"/>
                <a:lstStyle/>
                <a:p>
                  <a:pPr>
                    <a:defRPr sz="1000" b="0" strike="noStrike" spc="-1">
                      <a:latin typeface="Arial"/>
                    </a:defRPr>
                  </a:pPr>
                  <a:endParaRPr lang="en-US"/>
                </a:p>
              </c:txPr>
              <c:showLegendKey val="0"/>
              <c:showVal val="0"/>
              <c:showCatName val="0"/>
              <c:showSerName val="0"/>
              <c:showPercent val="0"/>
              <c:showBubbleSiz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8-3B00-4890-9968-7F792AB0A34E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1"/>
            <c:extLst>
              <c:ext xmlns:c15="http://schemas.microsoft.com/office/drawing/2012/chart" uri="{CE6537A1-D6FC-4f65-9D91-7224C49458BB}"/>
            </c:extLst>
          </c:dLbls>
          <c:cat>
            <c:strRef>
              <c:f>'03_Commuting Assumptions'!$A$12:$A$16</c:f>
              <c:strCache>
                <c:ptCount val="5"/>
                <c:pt idx="0">
                  <c:v>Walk or cycle</c:v>
                </c:pt>
                <c:pt idx="1">
                  <c:v>Public transport</c:v>
                </c:pt>
                <c:pt idx="2">
                  <c:v>Car (drive alone)</c:v>
                </c:pt>
                <c:pt idx="3">
                  <c:v>Car share</c:v>
                </c:pt>
                <c:pt idx="4">
                  <c:v>Mixed</c:v>
                </c:pt>
              </c:strCache>
            </c:strRef>
          </c:cat>
          <c:val>
            <c:numRef>
              <c:f>'03_Commuting Assumptions'!$B$12:$B$16</c:f>
              <c:numCache>
                <c:formatCode>General</c:formatCode>
                <c:ptCount val="5"/>
                <c:pt idx="0">
                  <c:v>20</c:v>
                </c:pt>
                <c:pt idx="1">
                  <c:v>14</c:v>
                </c:pt>
                <c:pt idx="2">
                  <c:v>11</c:v>
                </c:pt>
                <c:pt idx="3">
                  <c:v>7</c:v>
                </c:pt>
                <c:pt idx="4">
                  <c:v>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9-3B00-4890-9968-7F792AB0A34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sz="1000" b="0" strike="noStrike" spc="-1">
              <a:solidFill>
                <a:srgbClr val="000000"/>
              </a:solidFill>
              <a:latin typeface="Calibri"/>
            </a:defRPr>
          </a:pPr>
          <a:endParaRPr lang="en-US"/>
        </a:p>
      </c:txPr>
    </c:legend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/>
          <a:lstStyle/>
          <a:p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lang="en-US" sz="1800" b="1" strike="noStrike" spc="-1">
                <a:solidFill>
                  <a:srgbClr val="000000"/>
                </a:solidFill>
                <a:latin typeface="Calibri"/>
              </a:rPr>
              <a:t>Monthly business-travel distance by mode (pax-km)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'05_Monthly Aggregation - Trips'!$B$1</c:f>
              <c:strCache>
                <c:ptCount val="1"/>
                <c:pt idx="0">
                  <c:v>Flights (pax-km)</c:v>
                </c:pt>
              </c:strCache>
            </c:strRef>
          </c:tx>
          <c:spPr>
            <a:ln w="28440">
              <a:solidFill>
                <a:srgbClr val="4A7EBB"/>
              </a:solidFill>
              <a:round/>
            </a:ln>
          </c:spPr>
          <c:marker>
            <c:symbol val="circle"/>
            <c:size val="5"/>
            <c:spPr>
              <a:solidFill>
                <a:srgbClr val="4A7EBB"/>
              </a:solidFill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'05_Monthly Aggregation - Trips'!$A$2:$A$13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'05_Monthly Aggregation - Trips'!$B$2:$B$13</c:f>
              <c:numCache>
                <c:formatCode>#,##0</c:formatCode>
                <c:ptCount val="12"/>
                <c:pt idx="0">
                  <c:v>6320</c:v>
                </c:pt>
                <c:pt idx="1">
                  <c:v>8160</c:v>
                </c:pt>
                <c:pt idx="2">
                  <c:v>12420</c:v>
                </c:pt>
                <c:pt idx="3">
                  <c:v>0</c:v>
                </c:pt>
                <c:pt idx="4">
                  <c:v>7700</c:v>
                </c:pt>
                <c:pt idx="5">
                  <c:v>6600</c:v>
                </c:pt>
                <c:pt idx="6">
                  <c:v>2600</c:v>
                </c:pt>
                <c:pt idx="7">
                  <c:v>0</c:v>
                </c:pt>
                <c:pt idx="8">
                  <c:v>6240</c:v>
                </c:pt>
                <c:pt idx="9">
                  <c:v>9060</c:v>
                </c:pt>
                <c:pt idx="10">
                  <c:v>1900</c:v>
                </c:pt>
                <c:pt idx="11">
                  <c:v>5020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A64A-411D-965A-F22E8549D2A1}"/>
            </c:ext>
          </c:extLst>
        </c:ser>
        <c:ser>
          <c:idx val="1"/>
          <c:order val="1"/>
          <c:tx>
            <c:strRef>
              <c:f>'05_Monthly Aggregation - Trips'!$C$1</c:f>
              <c:strCache>
                <c:ptCount val="1"/>
                <c:pt idx="0">
                  <c:v>Rail (pax-km)</c:v>
                </c:pt>
              </c:strCache>
            </c:strRef>
          </c:tx>
          <c:spPr>
            <a:ln w="28440">
              <a:solidFill>
                <a:srgbClr val="BE4B48"/>
              </a:solidFill>
              <a:round/>
            </a:ln>
          </c:spPr>
          <c:marker>
            <c:symbol val="circle"/>
            <c:size val="5"/>
            <c:spPr>
              <a:solidFill>
                <a:srgbClr val="BE4B48"/>
              </a:solidFill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'05_Monthly Aggregation - Trips'!$A$2:$A$13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'05_Monthly Aggregation - Trips'!$C$2:$C$13</c:f>
              <c:numCache>
                <c:formatCode>#,##0</c:formatCode>
                <c:ptCount val="12"/>
                <c:pt idx="0">
                  <c:v>1700</c:v>
                </c:pt>
                <c:pt idx="1">
                  <c:v>1800</c:v>
                </c:pt>
                <c:pt idx="2">
                  <c:v>0</c:v>
                </c:pt>
                <c:pt idx="3">
                  <c:v>5420</c:v>
                </c:pt>
                <c:pt idx="4">
                  <c:v>5600</c:v>
                </c:pt>
                <c:pt idx="5">
                  <c:v>5420</c:v>
                </c:pt>
                <c:pt idx="6">
                  <c:v>4680</c:v>
                </c:pt>
                <c:pt idx="7">
                  <c:v>2540</c:v>
                </c:pt>
                <c:pt idx="8">
                  <c:v>1280</c:v>
                </c:pt>
                <c:pt idx="9">
                  <c:v>2960</c:v>
                </c:pt>
                <c:pt idx="10">
                  <c:v>2720</c:v>
                </c:pt>
                <c:pt idx="11">
                  <c:v>4700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A64A-411D-965A-F22E8549D2A1}"/>
            </c:ext>
          </c:extLst>
        </c:ser>
        <c:ser>
          <c:idx val="2"/>
          <c:order val="2"/>
          <c:tx>
            <c:strRef>
              <c:f>'05_Monthly Aggregation - Trips'!$D$1</c:f>
              <c:strCache>
                <c:ptCount val="1"/>
                <c:pt idx="0">
                  <c:v>Car (pax-km)</c:v>
                </c:pt>
              </c:strCache>
            </c:strRef>
          </c:tx>
          <c:spPr>
            <a:ln w="28440">
              <a:solidFill>
                <a:srgbClr val="98B855"/>
              </a:solidFill>
              <a:round/>
            </a:ln>
          </c:spPr>
          <c:marker>
            <c:symbol val="circle"/>
            <c:size val="5"/>
            <c:spPr>
              <a:solidFill>
                <a:srgbClr val="98B855"/>
              </a:solidFill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'05_Monthly Aggregation - Trips'!$A$2:$A$13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'05_Monthly Aggregation - Trips'!$D$2:$D$13</c:f>
              <c:numCache>
                <c:formatCode>#,##0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300</c:v>
                </c:pt>
                <c:pt idx="3">
                  <c:v>960</c:v>
                </c:pt>
                <c:pt idx="4">
                  <c:v>360</c:v>
                </c:pt>
                <c:pt idx="5">
                  <c:v>1560</c:v>
                </c:pt>
                <c:pt idx="6">
                  <c:v>0</c:v>
                </c:pt>
                <c:pt idx="7">
                  <c:v>0</c:v>
                </c:pt>
                <c:pt idx="8">
                  <c:v>900</c:v>
                </c:pt>
                <c:pt idx="9">
                  <c:v>300</c:v>
                </c:pt>
                <c:pt idx="10">
                  <c:v>300</c:v>
                </c:pt>
                <c:pt idx="11">
                  <c:v>660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A64A-411D-965A-F22E8549D2A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hiLowLines>
          <c:spPr>
            <a:ln w="0">
              <a:noFill/>
            </a:ln>
          </c:spPr>
        </c:hiLowLines>
        <c:marker val="1"/>
        <c:smooth val="0"/>
        <c:axId val="99287791"/>
        <c:axId val="85425605"/>
      </c:lineChart>
      <c:catAx>
        <c:axId val="99287791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sz="1000" b="1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rPr lang="en-US" sz="1000" b="1" strike="noStrike" spc="-1">
                    <a:solidFill>
                      <a:srgbClr val="000000"/>
                    </a:solidFill>
                    <a:latin typeface="Calibri"/>
                  </a:rPr>
                  <a:t>Month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85425605"/>
        <c:crosses val="autoZero"/>
        <c:auto val="1"/>
        <c:lblAlgn val="ctr"/>
        <c:lblOffset val="100"/>
        <c:noMultiLvlLbl val="0"/>
      </c:catAx>
      <c:valAx>
        <c:axId val="85425605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sz="1000" b="1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rPr lang="en-US" sz="1000" b="1" strike="noStrike" spc="-1">
                    <a:solidFill>
                      <a:srgbClr val="000000"/>
                    </a:solidFill>
                    <a:latin typeface="Calibri"/>
                  </a:rPr>
                  <a:t>pax-km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#,##0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99287791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sz="1000" b="0" strike="noStrike" spc="-1">
              <a:solidFill>
                <a:srgbClr val="000000"/>
              </a:solidFill>
              <a:latin typeface="Calibri"/>
            </a:defRPr>
          </a:pPr>
          <a:endParaRPr lang="en-US"/>
        </a:p>
      </c:txPr>
    </c:legend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 rot="0"/>
          <a:lstStyle/>
          <a:p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lang="en-US" sz="1800" b="1" strike="noStrike" spc="-1">
                <a:solidFill>
                  <a:srgbClr val="000000"/>
                </a:solidFill>
                <a:latin typeface="Calibri"/>
              </a:rPr>
              <a:t>Monthly business vs. commuting emissions (tCO2e)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'09_KPIs &amp; Dashboard'!$B$4</c:f>
              <c:strCache>
                <c:ptCount val="1"/>
                <c:pt idx="0">
                  <c:v>Business emissions (tCO2e)</c:v>
                </c:pt>
              </c:strCache>
            </c:strRef>
          </c:tx>
          <c:spPr>
            <a:solidFill>
              <a:srgbClr val="4F81BD"/>
            </a:solidFill>
            <a:ln w="9360">
              <a:solidFill>
                <a:srgbClr val="F9F9F9"/>
              </a:solidFill>
              <a:round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'09_KPIs &amp; Dashboard'!$A$5:$A$16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'09_KPIs &amp; Dashboard'!$B$5:$B$16</c:f>
              <c:numCache>
                <c:formatCode>0.0</c:formatCode>
                <c:ptCount val="12"/>
                <c:pt idx="0">
                  <c:v>1.3135999999999999</c:v>
                </c:pt>
                <c:pt idx="1">
                  <c:v>1.6847999999999999</c:v>
                </c:pt>
                <c:pt idx="2">
                  <c:v>2.4335999999999998</c:v>
                </c:pt>
                <c:pt idx="3">
                  <c:v>0.46160000000000001</c:v>
                </c:pt>
                <c:pt idx="4">
                  <c:v>1.8548</c:v>
                </c:pt>
                <c:pt idx="5">
                  <c:v>1.8655999999999999</c:v>
                </c:pt>
                <c:pt idx="6">
                  <c:v>0.69120000000000004</c:v>
                </c:pt>
                <c:pt idx="7">
                  <c:v>0.19160000000000002</c:v>
                </c:pt>
                <c:pt idx="8">
                  <c:v>1.4984000000000002</c:v>
                </c:pt>
                <c:pt idx="9">
                  <c:v>1.9112</c:v>
                </c:pt>
                <c:pt idx="10">
                  <c:v>0.5948</c:v>
                </c:pt>
                <c:pt idx="11">
                  <c:v>1.3363999999999998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B2A-425F-8286-133E16C3050C}"/>
            </c:ext>
          </c:extLst>
        </c:ser>
        <c:ser>
          <c:idx val="1"/>
          <c:order val="1"/>
          <c:tx>
            <c:strRef>
              <c:f>'09_KPIs &amp; Dashboard'!$C$4</c:f>
              <c:strCache>
                <c:ptCount val="1"/>
                <c:pt idx="0">
                  <c:v>Commuting emissions (tCO2e)</c:v>
                </c:pt>
              </c:strCache>
            </c:strRef>
          </c:tx>
          <c:spPr>
            <a:solidFill>
              <a:srgbClr val="C0504D"/>
            </a:solidFill>
            <a:ln w="9360">
              <a:solidFill>
                <a:srgbClr val="F9F9F9"/>
              </a:solidFill>
              <a:round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'09_KPIs &amp; Dashboard'!$A$5:$A$16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'09_KPIs &amp; Dashboard'!$C$5:$C$16</c:f>
              <c:numCache>
                <c:formatCode>0.0</c:formatCode>
                <c:ptCount val="12"/>
                <c:pt idx="0">
                  <c:v>44.767443500000006</c:v>
                </c:pt>
                <c:pt idx="1">
                  <c:v>44.767443500000006</c:v>
                </c:pt>
                <c:pt idx="2">
                  <c:v>43.70155198809524</c:v>
                </c:pt>
                <c:pt idx="3">
                  <c:v>41.569768964285721</c:v>
                </c:pt>
                <c:pt idx="4">
                  <c:v>37.30620291666667</c:v>
                </c:pt>
                <c:pt idx="5">
                  <c:v>26.64728779761905</c:v>
                </c:pt>
                <c:pt idx="6">
                  <c:v>8.5271320952380965</c:v>
                </c:pt>
                <c:pt idx="7">
                  <c:v>6.395349071428571</c:v>
                </c:pt>
                <c:pt idx="8">
                  <c:v>29.844962333333331</c:v>
                </c:pt>
                <c:pt idx="9">
                  <c:v>40.503877452380955</c:v>
                </c:pt>
                <c:pt idx="10">
                  <c:v>43.70155198809524</c:v>
                </c:pt>
                <c:pt idx="11">
                  <c:v>45.833335011904758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4B2A-425F-8286-133E16C3050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43945330"/>
        <c:axId val="23535771"/>
      </c:barChart>
      <c:catAx>
        <c:axId val="43945330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sz="1000" b="1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rPr lang="en-US" sz="1000" b="1" strike="noStrike" spc="-1">
                    <a:solidFill>
                      <a:srgbClr val="000000"/>
                    </a:solidFill>
                    <a:latin typeface="Calibri"/>
                  </a:rPr>
                  <a:t>Month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23535771"/>
        <c:crosses val="autoZero"/>
        <c:auto val="1"/>
        <c:lblAlgn val="ctr"/>
        <c:lblOffset val="100"/>
        <c:noMultiLvlLbl val="0"/>
      </c:catAx>
      <c:valAx>
        <c:axId val="23535771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sz="1000" b="1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rPr lang="en-US" sz="1000" b="1" strike="noStrike" spc="-1">
                    <a:solidFill>
                      <a:srgbClr val="000000"/>
                    </a:solidFill>
                    <a:latin typeface="Calibri"/>
                  </a:rPr>
                  <a:t>tCO2e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0.0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43945330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sz="1000" b="0" strike="noStrike" spc="-1">
              <a:solidFill>
                <a:srgbClr val="000000"/>
              </a:solidFill>
              <a:latin typeface="Calibri"/>
            </a:defRPr>
          </a:pPr>
          <a:endParaRPr lang="en-US"/>
        </a:p>
      </c:txPr>
    </c:legend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/>
          <a:lstStyle/>
          <a:p>
            <a:pPr>
              <a:defRPr sz="1600" b="1" strike="noStrike" spc="-1">
                <a:solidFill>
                  <a:srgbClr val="000000"/>
                </a:solidFill>
                <a:latin typeface="Calibri"/>
              </a:defRPr>
            </a:pPr>
            <a:r>
              <a:rPr lang="en-US" sz="1600" b="1" strike="noStrike" spc="-1">
                <a:solidFill>
                  <a:srgbClr val="000000"/>
                </a:solidFill>
                <a:latin typeface="Calibri"/>
              </a:rPr>
              <a:t>Monthly commuting vs. business-travel emissions (tCO2e)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'09_KPIs &amp; Dashboard'!$C$4</c:f>
              <c:strCache>
                <c:ptCount val="1"/>
                <c:pt idx="0">
                  <c:v>Commuting emissions (tCO2e)</c:v>
                </c:pt>
              </c:strCache>
            </c:strRef>
          </c:tx>
          <c:spPr>
            <a:solidFill>
              <a:srgbClr val="4F81BD"/>
            </a:solidFill>
            <a:ln w="9360">
              <a:solidFill>
                <a:srgbClr val="F9F9F9"/>
              </a:solidFill>
              <a:round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'09_KPIs &amp; Dashboard'!$A$5:$A$16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'09_KPIs &amp; Dashboard'!$C$5:$C$16</c:f>
              <c:numCache>
                <c:formatCode>0.0</c:formatCode>
                <c:ptCount val="12"/>
                <c:pt idx="0">
                  <c:v>44.767443500000006</c:v>
                </c:pt>
                <c:pt idx="1">
                  <c:v>44.767443500000006</c:v>
                </c:pt>
                <c:pt idx="2">
                  <c:v>43.70155198809524</c:v>
                </c:pt>
                <c:pt idx="3">
                  <c:v>41.569768964285721</c:v>
                </c:pt>
                <c:pt idx="4">
                  <c:v>37.30620291666667</c:v>
                </c:pt>
                <c:pt idx="5">
                  <c:v>26.64728779761905</c:v>
                </c:pt>
                <c:pt idx="6">
                  <c:v>8.5271320952380965</c:v>
                </c:pt>
                <c:pt idx="7">
                  <c:v>6.395349071428571</c:v>
                </c:pt>
                <c:pt idx="8">
                  <c:v>29.844962333333331</c:v>
                </c:pt>
                <c:pt idx="9">
                  <c:v>40.503877452380955</c:v>
                </c:pt>
                <c:pt idx="10">
                  <c:v>43.70155198809524</c:v>
                </c:pt>
                <c:pt idx="11">
                  <c:v>45.833335011904758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CF3-4D09-BF80-E1ED5284C9F6}"/>
            </c:ext>
          </c:extLst>
        </c:ser>
        <c:ser>
          <c:idx val="1"/>
          <c:order val="1"/>
          <c:tx>
            <c:strRef>
              <c:f>'09_KPIs &amp; Dashboard'!$B$4</c:f>
              <c:strCache>
                <c:ptCount val="1"/>
                <c:pt idx="0">
                  <c:v>Business emissions (tCO2e)</c:v>
                </c:pt>
              </c:strCache>
            </c:strRef>
          </c:tx>
          <c:spPr>
            <a:solidFill>
              <a:srgbClr val="C0504D"/>
            </a:solidFill>
            <a:ln w="9360">
              <a:solidFill>
                <a:srgbClr val="F9F9F9"/>
              </a:solidFill>
              <a:round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'09_KPIs &amp; Dashboard'!$A$5:$A$16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'09_KPIs &amp; Dashboard'!$B$5:$B$16</c:f>
              <c:numCache>
                <c:formatCode>0.0</c:formatCode>
                <c:ptCount val="12"/>
                <c:pt idx="0">
                  <c:v>1.3135999999999999</c:v>
                </c:pt>
                <c:pt idx="1">
                  <c:v>1.6847999999999999</c:v>
                </c:pt>
                <c:pt idx="2">
                  <c:v>2.4335999999999998</c:v>
                </c:pt>
                <c:pt idx="3">
                  <c:v>0.46160000000000001</c:v>
                </c:pt>
                <c:pt idx="4">
                  <c:v>1.8548</c:v>
                </c:pt>
                <c:pt idx="5">
                  <c:v>1.8655999999999999</c:v>
                </c:pt>
                <c:pt idx="6">
                  <c:v>0.69120000000000004</c:v>
                </c:pt>
                <c:pt idx="7">
                  <c:v>0.19160000000000002</c:v>
                </c:pt>
                <c:pt idx="8">
                  <c:v>1.4984000000000002</c:v>
                </c:pt>
                <c:pt idx="9">
                  <c:v>1.9112</c:v>
                </c:pt>
                <c:pt idx="10">
                  <c:v>0.5948</c:v>
                </c:pt>
                <c:pt idx="11">
                  <c:v>1.3363999999999998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BCF3-4D09-BF80-E1ED5284C9F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53391697"/>
        <c:axId val="67597480"/>
      </c:barChart>
      <c:catAx>
        <c:axId val="53391697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sz="1000" b="1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rPr lang="en-US" sz="1000" b="1" strike="noStrike" spc="-1">
                    <a:solidFill>
                      <a:srgbClr val="000000"/>
                    </a:solidFill>
                    <a:latin typeface="Calibri"/>
                  </a:rPr>
                  <a:t>Month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67597480"/>
        <c:crosses val="autoZero"/>
        <c:auto val="1"/>
        <c:lblAlgn val="ctr"/>
        <c:lblOffset val="100"/>
        <c:noMultiLvlLbl val="0"/>
      </c:catAx>
      <c:valAx>
        <c:axId val="67597480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sz="1000" b="1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rPr lang="en-US" sz="1000" b="1" strike="noStrike" spc="-1">
                    <a:solidFill>
                      <a:srgbClr val="000000"/>
                    </a:solidFill>
                    <a:latin typeface="Calibri"/>
                  </a:rPr>
                  <a:t>tCO2e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0.0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53391697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sz="1000" b="0" strike="noStrike" spc="-1">
              <a:solidFill>
                <a:srgbClr val="000000"/>
              </a:solidFill>
              <a:latin typeface="Calibri"/>
            </a:defRPr>
          </a:pPr>
          <a:endParaRPr lang="en-US"/>
        </a:p>
      </c:txPr>
    </c:legend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 rot="0"/>
          <a:lstStyle/>
          <a:p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lang="en-US" sz="1800" b="1" strike="noStrike" spc="-1">
                <a:solidFill>
                  <a:srgbClr val="000000"/>
                </a:solidFill>
                <a:latin typeface="Calibri"/>
              </a:rPr>
              <a:t>Business-travel annual emissions by mode (tCO2e)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pieChart>
        <c:varyColors val="1"/>
        <c:ser>
          <c:idx val="0"/>
          <c:order val="0"/>
          <c:tx>
            <c:strRef>
              <c:f>'10_Chart - Biz Mode Share'!$I$1</c:f>
              <c:strCache>
                <c:ptCount val="1"/>
                <c:pt idx="0">
                  <c:v>Annual tCO2e</c:v>
                </c:pt>
              </c:strCache>
            </c:strRef>
          </c:tx>
          <c:spPr>
            <a:solidFill>
              <a:srgbClr val="4F81BD"/>
            </a:solidFill>
            <a:ln w="0">
              <a:noFill/>
            </a:ln>
          </c:spPr>
          <c:dPt>
            <c:idx val="0"/>
            <c:bubble3D val="0"/>
            <c:extLst>
              <c:ext xmlns:c16="http://schemas.microsoft.com/office/drawing/2014/chart" uri="{C3380CC4-5D6E-409C-BE32-E72D297353CC}">
                <c16:uniqueId val="{00000001-7ABB-49B4-8627-F88343B293BB}"/>
              </c:ext>
            </c:extLst>
          </c:dPt>
          <c:dPt>
            <c:idx val="1"/>
            <c:bubble3D val="0"/>
            <c:spPr>
              <a:solidFill>
                <a:srgbClr val="C0504D"/>
              </a:solidFill>
              <a:ln w="0">
                <a:noFill/>
              </a:ln>
            </c:spPr>
            <c:extLst>
              <c:ext xmlns:c16="http://schemas.microsoft.com/office/drawing/2014/chart" uri="{C3380CC4-5D6E-409C-BE32-E72D297353CC}">
                <c16:uniqueId val="{00000003-7ABB-49B4-8627-F88343B293BB}"/>
              </c:ext>
            </c:extLst>
          </c:dPt>
          <c:dPt>
            <c:idx val="2"/>
            <c:bubble3D val="0"/>
            <c:spPr>
              <a:solidFill>
                <a:srgbClr val="9BBB59"/>
              </a:solidFill>
              <a:ln w="0">
                <a:noFill/>
              </a:ln>
            </c:spPr>
            <c:extLst>
              <c:ext xmlns:c16="http://schemas.microsoft.com/office/drawing/2014/chart" uri="{C3380CC4-5D6E-409C-BE32-E72D297353CC}">
                <c16:uniqueId val="{00000005-7ABB-49B4-8627-F88343B293BB}"/>
              </c:ext>
            </c:extLst>
          </c:dPt>
          <c:dPt>
            <c:idx val="3"/>
            <c:bubble3D val="0"/>
            <c:spPr>
              <a:solidFill>
                <a:srgbClr val="8064A2"/>
              </a:solidFill>
              <a:ln w="0">
                <a:noFill/>
              </a:ln>
            </c:spPr>
            <c:extLst>
              <c:ext xmlns:c16="http://schemas.microsoft.com/office/drawing/2014/chart" uri="{C3380CC4-5D6E-409C-BE32-E72D297353CC}">
                <c16:uniqueId val="{00000007-7ABB-49B4-8627-F88343B293BB}"/>
              </c:ext>
            </c:extLst>
          </c:dPt>
          <c:dLbls>
            <c:dLbl>
              <c:idx val="0"/>
              <c:spPr/>
              <c:txPr>
                <a:bodyPr wrap="none"/>
                <a:lstStyle/>
                <a:p>
                  <a:pPr>
                    <a:defRPr sz="1000" b="0" strike="noStrike" spc="-1">
                      <a:latin typeface="Arial"/>
                    </a:defRPr>
                  </a:pPr>
                  <a:endParaRPr lang="en-US"/>
                </a:p>
              </c:txPr>
              <c:showLegendKey val="0"/>
              <c:showVal val="0"/>
              <c:showCatName val="0"/>
              <c:showSerName val="0"/>
              <c:showPercent val="0"/>
              <c:showBubbleSize val="1"/>
              <c:extLst>
                <c:ext xmlns:c16="http://schemas.microsoft.com/office/drawing/2014/chart" uri="{C3380CC4-5D6E-409C-BE32-E72D297353CC}">
                  <c16:uniqueId val="{00000001-7ABB-49B4-8627-F88343B293BB}"/>
                </c:ext>
              </c:extLst>
            </c:dLbl>
            <c:dLbl>
              <c:idx val="1"/>
              <c:spPr/>
              <c:txPr>
                <a:bodyPr wrap="none"/>
                <a:lstStyle/>
                <a:p>
                  <a:pPr>
                    <a:defRPr sz="1000" b="0" strike="noStrike" spc="-1">
                      <a:latin typeface="Arial"/>
                    </a:defRPr>
                  </a:pPr>
                  <a:endParaRPr lang="en-US"/>
                </a:p>
              </c:txPr>
              <c:showLegendKey val="0"/>
              <c:showVal val="0"/>
              <c:showCatName val="0"/>
              <c:showSerName val="0"/>
              <c:showPercent val="0"/>
              <c:showBubbleSize val="1"/>
              <c:extLst>
                <c:ext xmlns:c16="http://schemas.microsoft.com/office/drawing/2014/chart" uri="{C3380CC4-5D6E-409C-BE32-E72D297353CC}">
                  <c16:uniqueId val="{00000003-7ABB-49B4-8627-F88343B293BB}"/>
                </c:ext>
              </c:extLst>
            </c:dLbl>
            <c:dLbl>
              <c:idx val="2"/>
              <c:spPr/>
              <c:txPr>
                <a:bodyPr wrap="none"/>
                <a:lstStyle/>
                <a:p>
                  <a:pPr>
                    <a:defRPr sz="1000" b="0" strike="noStrike" spc="-1">
                      <a:latin typeface="Arial"/>
                    </a:defRPr>
                  </a:pPr>
                  <a:endParaRPr lang="en-US"/>
                </a:p>
              </c:txPr>
              <c:showLegendKey val="0"/>
              <c:showVal val="0"/>
              <c:showCatName val="0"/>
              <c:showSerName val="0"/>
              <c:showPercent val="0"/>
              <c:showBubbleSize val="1"/>
              <c:extLst>
                <c:ext xmlns:c16="http://schemas.microsoft.com/office/drawing/2014/chart" uri="{C3380CC4-5D6E-409C-BE32-E72D297353CC}">
                  <c16:uniqueId val="{00000005-7ABB-49B4-8627-F88343B293BB}"/>
                </c:ext>
              </c:extLst>
            </c:dLbl>
            <c:dLbl>
              <c:idx val="3"/>
              <c:spPr/>
              <c:txPr>
                <a:bodyPr wrap="none"/>
                <a:lstStyle/>
                <a:p>
                  <a:pPr>
                    <a:defRPr sz="1000" b="0" strike="noStrike" spc="-1">
                      <a:latin typeface="Arial"/>
                    </a:defRPr>
                  </a:pPr>
                  <a:endParaRPr lang="en-US"/>
                </a:p>
              </c:txPr>
              <c:showLegendKey val="0"/>
              <c:showVal val="0"/>
              <c:showCatName val="0"/>
              <c:showSerName val="0"/>
              <c:showPercent val="0"/>
              <c:showBubbleSize val="1"/>
              <c:extLst>
                <c:ext xmlns:c16="http://schemas.microsoft.com/office/drawing/2014/chart" uri="{C3380CC4-5D6E-409C-BE32-E72D297353CC}">
                  <c16:uniqueId val="{00000007-7ABB-49B4-8627-F88343B293BB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1"/>
            <c:extLst>
              <c:ext xmlns:c15="http://schemas.microsoft.com/office/drawing/2012/chart" uri="{CE6537A1-D6FC-4f65-9D91-7224C49458BB}"/>
            </c:extLst>
          </c:dLbls>
          <c:cat>
            <c:strRef>
              <c:f>'10_Chart - Biz Mode Share'!$H$2:$H$5</c:f>
              <c:strCache>
                <c:ptCount val="4"/>
                <c:pt idx="0">
                  <c:v>Air</c:v>
                </c:pt>
                <c:pt idx="1">
                  <c:v>Rail</c:v>
                </c:pt>
                <c:pt idx="2">
                  <c:v>Car</c:v>
                </c:pt>
                <c:pt idx="3">
                  <c:v>Hotel</c:v>
                </c:pt>
              </c:strCache>
            </c:strRef>
          </c:cat>
          <c:val>
            <c:numRef>
              <c:f>'10_Chart - Biz Mode Share'!$I$2:$I$5</c:f>
              <c:numCache>
                <c:formatCode>0.0</c:formatCode>
                <c:ptCount val="4"/>
                <c:pt idx="0">
                  <c:v>11.883599999999999</c:v>
                </c:pt>
                <c:pt idx="1">
                  <c:v>1.5528</c:v>
                </c:pt>
                <c:pt idx="2">
                  <c:v>0.96119999999999994</c:v>
                </c:pt>
                <c:pt idx="3">
                  <c:v>1.44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7ABB-49B4-8627-F88343B293B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sz="1000" b="0" strike="noStrike" spc="-1">
              <a:solidFill>
                <a:srgbClr val="000000"/>
              </a:solidFill>
              <a:latin typeface="Calibri"/>
            </a:defRPr>
          </a:pPr>
          <a:endParaRPr lang="en-US"/>
        </a:p>
      </c:txPr>
    </c:legend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 rot="0"/>
          <a:lstStyle/>
          <a:p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lang="en-US" sz="1800" b="1" strike="noStrike" spc="-1">
                <a:solidFill>
                  <a:srgbClr val="000000"/>
                </a:solidFill>
                <a:latin typeface="Calibri"/>
              </a:rPr>
              <a:t>Annual travel emissions: booked vs. commuting (tCO2e)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'11_Chart - Annual Biz v Commute'!$I$1</c:f>
              <c:strCache>
                <c:ptCount val="1"/>
                <c:pt idx="0">
                  <c:v>tCO2e</c:v>
                </c:pt>
              </c:strCache>
            </c:strRef>
          </c:tx>
          <c:spPr>
            <a:solidFill>
              <a:srgbClr val="4F81BD"/>
            </a:solidFill>
            <a:ln w="9360">
              <a:solidFill>
                <a:srgbClr val="F9F9F9"/>
              </a:solidFill>
              <a:round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'11_Chart - Annual Biz v Commute'!$H$2:$H$3</c:f>
              <c:strCache>
                <c:ptCount val="2"/>
                <c:pt idx="0">
                  <c:v>Business travel (booked)</c:v>
                </c:pt>
                <c:pt idx="1">
                  <c:v>Commuting (surveyed)</c:v>
                </c:pt>
              </c:strCache>
            </c:strRef>
          </c:cat>
          <c:val>
            <c:numRef>
              <c:f>'11_Chart - Annual Biz v Commute'!$I$2:$I$3</c:f>
              <c:numCache>
                <c:formatCode>0.0</c:formatCode>
                <c:ptCount val="2"/>
                <c:pt idx="0">
                  <c:v>15.837599999999997</c:v>
                </c:pt>
                <c:pt idx="1">
                  <c:v>413.56590661904761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3CD-4065-A882-33FD934837F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74832914"/>
        <c:axId val="79357564"/>
      </c:barChart>
      <c:catAx>
        <c:axId val="7483291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79357564"/>
        <c:crosses val="autoZero"/>
        <c:auto val="1"/>
        <c:lblAlgn val="ctr"/>
        <c:lblOffset val="100"/>
        <c:noMultiLvlLbl val="0"/>
      </c:catAx>
      <c:valAx>
        <c:axId val="79357564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sz="1000" b="1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rPr lang="en-US" sz="1000" b="1" strike="noStrike" spc="-1">
                    <a:solidFill>
                      <a:srgbClr val="000000"/>
                    </a:solidFill>
                    <a:latin typeface="Calibri"/>
                  </a:rPr>
                  <a:t>tCO2e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0.0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74832914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chart" Target="../charts/chart4.xml"/><Relationship Id="rId1" Type="http://schemas.openxmlformats.org/officeDocument/2006/relationships/chart" Target="../charts/chart3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5.xml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6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577850</xdr:colOff>
      <xdr:row>6</xdr:row>
      <xdr:rowOff>120650</xdr:rowOff>
    </xdr:from>
    <xdr:to>
      <xdr:col>9</xdr:col>
      <xdr:colOff>180210</xdr:colOff>
      <xdr:row>21</xdr:row>
      <xdr:rowOff>117210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18E2713A-DEB9-4622-976A-675AE761B86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520700</xdr:colOff>
      <xdr:row>16</xdr:row>
      <xdr:rowOff>114300</xdr:rowOff>
    </xdr:from>
    <xdr:to>
      <xdr:col>9</xdr:col>
      <xdr:colOff>358330</xdr:colOff>
      <xdr:row>31</xdr:row>
      <xdr:rowOff>136260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B71A24E6-2976-4E0C-ABC0-5A99AEC5995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20</xdr:row>
      <xdr:rowOff>167760</xdr:rowOff>
    </xdr:from>
    <xdr:to>
      <xdr:col>5</xdr:col>
      <xdr:colOff>417960</xdr:colOff>
      <xdr:row>32</xdr:row>
      <xdr:rowOff>190080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9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4</xdr:col>
      <xdr:colOff>584200</xdr:colOff>
      <xdr:row>1</xdr:row>
      <xdr:rowOff>158750</xdr:rowOff>
    </xdr:from>
    <xdr:to>
      <xdr:col>9</xdr:col>
      <xdr:colOff>1393380</xdr:colOff>
      <xdr:row>15</xdr:row>
      <xdr:rowOff>53710</xdr:rowOff>
    </xdr:to>
    <xdr:graphicFrame macro="">
      <xdr:nvGraphicFramePr>
        <xdr:cNvPr id="3" name="Chart 1">
          <a:extLst>
            <a:ext uri="{FF2B5EF4-FFF2-40B4-BE49-F238E27FC236}">
              <a16:creationId xmlns:a16="http://schemas.microsoft.com/office/drawing/2014/main" id="{648DE16F-19C5-4D61-BAD6-EF7F4F0BBC2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5</xdr:col>
      <xdr:colOff>542160</xdr:colOff>
      <xdr:row>15</xdr:row>
      <xdr:rowOff>21960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B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63500</xdr:colOff>
      <xdr:row>4</xdr:row>
      <xdr:rowOff>57150</xdr:rowOff>
    </xdr:from>
    <xdr:to>
      <xdr:col>13</xdr:col>
      <xdr:colOff>428180</xdr:colOff>
      <xdr:row>19</xdr:row>
      <xdr:rowOff>79110</xdr:rowOff>
    </xdr:to>
    <xdr:graphicFrame macro="">
      <xdr:nvGraphicFramePr>
        <xdr:cNvPr id="5" name="Chart 1">
          <a:extLst>
            <a:ext uri="{FF2B5EF4-FFF2-40B4-BE49-F238E27FC236}">
              <a16:creationId xmlns:a16="http://schemas.microsoft.com/office/drawing/2014/main" id="{00000000-0008-0000-0E00-000005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H13"/>
  <sheetViews>
    <sheetView zoomScaleNormal="100" workbookViewId="0">
      <selection activeCell="A14" sqref="A14"/>
    </sheetView>
  </sheetViews>
  <sheetFormatPr defaultColWidth="8.6328125" defaultRowHeight="14.5" x14ac:dyDescent="0.35"/>
  <cols>
    <col min="1" max="1" width="14" customWidth="1"/>
    <col min="2" max="8" width="16" customWidth="1"/>
  </cols>
  <sheetData>
    <row r="1" spans="1:8" ht="20" x14ac:dyDescent="0.4">
      <c r="A1" s="8" t="s">
        <v>210</v>
      </c>
    </row>
    <row r="2" spans="1:8" x14ac:dyDescent="0.35">
      <c r="A2" s="9" t="s">
        <v>209</v>
      </c>
    </row>
    <row r="4" spans="1:8" ht="43.5" customHeight="1" x14ac:dyDescent="0.35">
      <c r="A4" s="28" t="s">
        <v>0</v>
      </c>
      <c r="B4" s="29" t="s">
        <v>211</v>
      </c>
      <c r="C4" s="29"/>
      <c r="D4" s="29"/>
      <c r="E4" s="29"/>
      <c r="F4" s="29"/>
      <c r="G4" s="29"/>
      <c r="H4" s="29"/>
    </row>
    <row r="5" spans="1:8" x14ac:dyDescent="0.35">
      <c r="A5" s="30"/>
      <c r="B5" s="30"/>
      <c r="C5" s="30"/>
      <c r="D5" s="30"/>
      <c r="E5" s="30"/>
      <c r="F5" s="30"/>
      <c r="G5" s="30"/>
      <c r="H5" s="30"/>
    </row>
    <row r="6" spans="1:8" ht="15.5" x14ac:dyDescent="0.35">
      <c r="A6" s="28" t="s">
        <v>1</v>
      </c>
      <c r="B6" s="30"/>
      <c r="C6" s="30"/>
      <c r="D6" s="30"/>
      <c r="E6" s="30"/>
      <c r="F6" s="30"/>
      <c r="G6" s="30"/>
      <c r="H6" s="30"/>
    </row>
    <row r="7" spans="1:8" ht="33.75" customHeight="1" x14ac:dyDescent="0.35">
      <c r="A7" s="29" t="s">
        <v>212</v>
      </c>
      <c r="B7" s="29"/>
      <c r="C7" s="29"/>
      <c r="D7" s="29"/>
      <c r="E7" s="29"/>
      <c r="F7" s="29"/>
      <c r="G7" s="29"/>
      <c r="H7" s="29"/>
    </row>
    <row r="8" spans="1:8" ht="33.75" customHeight="1" x14ac:dyDescent="0.35">
      <c r="A8" s="29" t="s">
        <v>213</v>
      </c>
      <c r="B8" s="29"/>
      <c r="C8" s="29"/>
      <c r="D8" s="29"/>
      <c r="E8" s="29"/>
      <c r="F8" s="29"/>
      <c r="G8" s="29"/>
      <c r="H8" s="29"/>
    </row>
    <row r="9" spans="1:8" ht="33.75" customHeight="1" x14ac:dyDescent="0.35">
      <c r="A9" s="29" t="s">
        <v>214</v>
      </c>
      <c r="B9" s="29"/>
      <c r="C9" s="29"/>
      <c r="D9" s="29"/>
      <c r="E9" s="29"/>
      <c r="F9" s="29"/>
      <c r="G9" s="29"/>
      <c r="H9" s="29"/>
    </row>
    <row r="10" spans="1:8" ht="33.75" customHeight="1" x14ac:dyDescent="0.35">
      <c r="A10" s="29" t="s">
        <v>215</v>
      </c>
      <c r="B10" s="29"/>
      <c r="C10" s="29"/>
      <c r="D10" s="29"/>
      <c r="E10" s="29"/>
      <c r="F10" s="29"/>
      <c r="G10" s="29"/>
      <c r="H10" s="29"/>
    </row>
    <row r="11" spans="1:8" ht="33.75" customHeight="1" x14ac:dyDescent="0.35">
      <c r="A11" s="29" t="s">
        <v>216</v>
      </c>
      <c r="B11" s="29"/>
      <c r="C11" s="29"/>
      <c r="D11" s="29"/>
      <c r="E11" s="29"/>
      <c r="F11" s="29"/>
      <c r="G11" s="29"/>
      <c r="H11" s="29"/>
    </row>
    <row r="12" spans="1:8" ht="33.75" customHeight="1" x14ac:dyDescent="0.35">
      <c r="A12" s="29" t="s">
        <v>217</v>
      </c>
      <c r="B12" s="29"/>
      <c r="C12" s="29"/>
      <c r="D12" s="29"/>
      <c r="E12" s="29"/>
      <c r="F12" s="29"/>
      <c r="G12" s="29"/>
      <c r="H12" s="29"/>
    </row>
    <row r="13" spans="1:8" ht="33.75" customHeight="1" x14ac:dyDescent="0.35">
      <c r="A13" s="29" t="s">
        <v>218</v>
      </c>
      <c r="B13" s="29"/>
      <c r="C13" s="29"/>
      <c r="D13" s="29"/>
      <c r="E13" s="29"/>
      <c r="F13" s="29"/>
      <c r="G13" s="29"/>
      <c r="H13" s="29"/>
    </row>
  </sheetData>
  <mergeCells count="8">
    <mergeCell ref="A11:H11"/>
    <mergeCell ref="A12:H12"/>
    <mergeCell ref="A13:H13"/>
    <mergeCell ref="B4:H4"/>
    <mergeCell ref="A7:H7"/>
    <mergeCell ref="A8:H8"/>
    <mergeCell ref="A9:H9"/>
    <mergeCell ref="A10:H10"/>
  </mergeCells>
  <pageMargins left="0.75" right="0.75" top="1" bottom="1" header="0.511811023622047" footer="0.511811023622047"/>
  <pageSetup fitToHeight="0" orientation="landscape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H20"/>
  <sheetViews>
    <sheetView zoomScaleNormal="100" workbookViewId="0"/>
  </sheetViews>
  <sheetFormatPr defaultColWidth="8.6328125" defaultRowHeight="14.5" x14ac:dyDescent="0.35"/>
  <cols>
    <col min="1" max="1" width="8" customWidth="1"/>
    <col min="2" max="2" width="22" customWidth="1"/>
    <col min="3" max="6" width="18" customWidth="1"/>
  </cols>
  <sheetData>
    <row r="1" spans="1:6" ht="20" x14ac:dyDescent="0.4">
      <c r="A1" s="8" t="s">
        <v>2</v>
      </c>
    </row>
    <row r="2" spans="1:6" x14ac:dyDescent="0.35">
      <c r="A2" s="9" t="s">
        <v>3</v>
      </c>
    </row>
    <row r="4" spans="1:6" x14ac:dyDescent="0.35">
      <c r="A4" s="11" t="s">
        <v>4</v>
      </c>
      <c r="B4" s="6" t="s">
        <v>5</v>
      </c>
      <c r="C4" s="6"/>
      <c r="D4" s="6"/>
      <c r="E4" s="6"/>
      <c r="F4" s="6"/>
    </row>
    <row r="5" spans="1:6" x14ac:dyDescent="0.35">
      <c r="B5" s="5" t="s">
        <v>6</v>
      </c>
      <c r="C5" s="5"/>
      <c r="D5" s="5"/>
      <c r="E5" s="5"/>
      <c r="F5" s="5"/>
    </row>
    <row r="7" spans="1:6" x14ac:dyDescent="0.35">
      <c r="A7" s="11" t="s">
        <v>7</v>
      </c>
      <c r="B7" s="6" t="s">
        <v>8</v>
      </c>
      <c r="C7" s="6"/>
      <c r="D7" s="6"/>
      <c r="E7" s="6"/>
      <c r="F7" s="6"/>
    </row>
    <row r="8" spans="1:6" x14ac:dyDescent="0.35">
      <c r="B8" s="5" t="s">
        <v>9</v>
      </c>
      <c r="C8" s="5"/>
      <c r="D8" s="5"/>
      <c r="E8" s="5"/>
      <c r="F8" s="5"/>
    </row>
    <row r="10" spans="1:6" x14ac:dyDescent="0.35">
      <c r="A10" s="11" t="s">
        <v>10</v>
      </c>
      <c r="B10" s="6" t="s">
        <v>11</v>
      </c>
      <c r="C10" s="6"/>
      <c r="D10" s="6"/>
      <c r="E10" s="6"/>
      <c r="F10" s="6"/>
    </row>
    <row r="11" spans="1:6" x14ac:dyDescent="0.35">
      <c r="B11" s="5" t="s">
        <v>12</v>
      </c>
      <c r="C11" s="5"/>
      <c r="D11" s="5"/>
      <c r="E11" s="5"/>
      <c r="F11" s="5"/>
    </row>
    <row r="13" spans="1:6" x14ac:dyDescent="0.35">
      <c r="A13" s="11" t="s">
        <v>13</v>
      </c>
      <c r="B13" s="6" t="s">
        <v>14</v>
      </c>
      <c r="C13" s="6"/>
      <c r="D13" s="6"/>
      <c r="E13" s="6"/>
      <c r="F13" s="6"/>
    </row>
    <row r="14" spans="1:6" x14ac:dyDescent="0.35">
      <c r="B14" s="5" t="s">
        <v>15</v>
      </c>
      <c r="C14" s="5"/>
      <c r="D14" s="5"/>
      <c r="E14" s="5"/>
      <c r="F14" s="5"/>
    </row>
    <row r="16" spans="1:6" x14ac:dyDescent="0.35">
      <c r="A16" s="11" t="s">
        <v>16</v>
      </c>
      <c r="B16" s="6" t="s">
        <v>17</v>
      </c>
      <c r="C16" s="6"/>
      <c r="D16" s="6"/>
      <c r="E16" s="6"/>
      <c r="F16" s="6"/>
    </row>
    <row r="17" spans="1:8" x14ac:dyDescent="0.35">
      <c r="B17" s="5" t="s">
        <v>18</v>
      </c>
      <c r="C17" s="5"/>
      <c r="D17" s="5"/>
      <c r="E17" s="5"/>
      <c r="F17" s="5"/>
    </row>
    <row r="20" spans="1:8" x14ac:dyDescent="0.35">
      <c r="A20" s="4" t="s">
        <v>19</v>
      </c>
      <c r="B20" s="4"/>
      <c r="C20" s="4"/>
      <c r="D20" s="4"/>
      <c r="E20" s="4"/>
      <c r="F20" s="4"/>
      <c r="G20" s="4"/>
      <c r="H20" s="4"/>
    </row>
  </sheetData>
  <mergeCells count="11">
    <mergeCell ref="A20:H20"/>
    <mergeCell ref="B11:F11"/>
    <mergeCell ref="B13:F13"/>
    <mergeCell ref="B14:F14"/>
    <mergeCell ref="B16:F16"/>
    <mergeCell ref="B17:F17"/>
    <mergeCell ref="B4:F4"/>
    <mergeCell ref="B5:F5"/>
    <mergeCell ref="B7:F7"/>
    <mergeCell ref="B8:F8"/>
    <mergeCell ref="B10:F10"/>
  </mergeCells>
  <pageMargins left="0.75" right="0.75" top="1" bottom="1" header="0.511811023622047" footer="0.511811023622047"/>
  <pageSetup fitToHeight="0" orientation="landscape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1:G63"/>
  <sheetViews>
    <sheetView zoomScaleNormal="100" workbookViewId="0"/>
  </sheetViews>
  <sheetFormatPr defaultColWidth="8.6328125" defaultRowHeight="14.5" x14ac:dyDescent="0.35"/>
  <cols>
    <col min="1" max="1" width="12" customWidth="1"/>
    <col min="2" max="2" width="10" customWidth="1"/>
    <col min="3" max="3" width="16" customWidth="1"/>
    <col min="4" max="4" width="20" customWidth="1"/>
    <col min="5" max="5" width="18" customWidth="1"/>
    <col min="6" max="6" width="38" customWidth="1"/>
    <col min="7" max="7" width="16" customWidth="1"/>
  </cols>
  <sheetData>
    <row r="1" spans="1:7" ht="26" x14ac:dyDescent="0.35">
      <c r="A1" s="12" t="s">
        <v>20</v>
      </c>
      <c r="B1" s="12" t="s">
        <v>21</v>
      </c>
      <c r="C1" s="12" t="s">
        <v>22</v>
      </c>
      <c r="D1" s="12" t="s">
        <v>23</v>
      </c>
      <c r="E1" s="12" t="s">
        <v>24</v>
      </c>
      <c r="F1" s="12" t="s">
        <v>25</v>
      </c>
      <c r="G1" s="13" t="s">
        <v>26</v>
      </c>
    </row>
    <row r="2" spans="1:7" x14ac:dyDescent="0.35">
      <c r="A2" s="14">
        <v>1</v>
      </c>
      <c r="B2" s="14" t="s">
        <v>27</v>
      </c>
      <c r="C2" s="14" t="s">
        <v>28</v>
      </c>
      <c r="D2" s="14" t="s">
        <v>29</v>
      </c>
      <c r="E2" s="14">
        <v>4</v>
      </c>
      <c r="F2" s="14"/>
      <c r="G2" s="15">
        <f>INDEX('03_Commuting Assumptions'!$B$3:$B$7,MATCH(C2,'03_Commuting Assumptions'!$A$3:$A$7,0))</f>
        <v>15</v>
      </c>
    </row>
    <row r="3" spans="1:7" x14ac:dyDescent="0.35">
      <c r="A3" s="14">
        <v>2</v>
      </c>
      <c r="B3" s="14" t="s">
        <v>27</v>
      </c>
      <c r="C3" s="14" t="s">
        <v>28</v>
      </c>
      <c r="D3" s="14" t="s">
        <v>30</v>
      </c>
      <c r="E3" s="14">
        <v>5</v>
      </c>
      <c r="F3" s="14"/>
      <c r="G3" s="15">
        <f>INDEX('03_Commuting Assumptions'!$B$3:$B$7,MATCH(C3,'03_Commuting Assumptions'!$A$3:$A$7,0))</f>
        <v>15</v>
      </c>
    </row>
    <row r="4" spans="1:7" x14ac:dyDescent="0.35">
      <c r="A4" s="14">
        <v>3</v>
      </c>
      <c r="B4" s="14" t="s">
        <v>27</v>
      </c>
      <c r="C4" s="14" t="s">
        <v>31</v>
      </c>
      <c r="D4" s="14" t="s">
        <v>30</v>
      </c>
      <c r="E4" s="14">
        <v>2</v>
      </c>
      <c r="F4" s="14"/>
      <c r="G4" s="15">
        <f>INDEX('03_Commuting Assumptions'!$B$3:$B$7,MATCH(C4,'03_Commuting Assumptions'!$A$3:$A$7,0))</f>
        <v>1</v>
      </c>
    </row>
    <row r="5" spans="1:7" x14ac:dyDescent="0.35">
      <c r="A5" s="14">
        <v>4</v>
      </c>
      <c r="B5" s="14" t="s">
        <v>27</v>
      </c>
      <c r="C5" s="14" t="s">
        <v>32</v>
      </c>
      <c r="D5" s="14" t="s">
        <v>30</v>
      </c>
      <c r="E5" s="14">
        <v>2</v>
      </c>
      <c r="F5" s="14"/>
      <c r="G5" s="15">
        <f>INDEX('03_Commuting Assumptions'!$B$3:$B$7,MATCH(C5,'03_Commuting Assumptions'!$A$3:$A$7,0))</f>
        <v>3.5</v>
      </c>
    </row>
    <row r="6" spans="1:7" x14ac:dyDescent="0.35">
      <c r="A6" s="14">
        <v>5</v>
      </c>
      <c r="B6" s="14" t="s">
        <v>27</v>
      </c>
      <c r="C6" s="14" t="s">
        <v>32</v>
      </c>
      <c r="D6" s="14" t="s">
        <v>30</v>
      </c>
      <c r="E6" s="14">
        <v>4</v>
      </c>
      <c r="F6" s="14"/>
      <c r="G6" s="15">
        <f>INDEX('03_Commuting Assumptions'!$B$3:$B$7,MATCH(C6,'03_Commuting Assumptions'!$A$3:$A$7,0))</f>
        <v>3.5</v>
      </c>
    </row>
    <row r="7" spans="1:7" x14ac:dyDescent="0.35">
      <c r="A7" s="14">
        <v>6</v>
      </c>
      <c r="B7" s="14" t="s">
        <v>27</v>
      </c>
      <c r="C7" s="14" t="s">
        <v>32</v>
      </c>
      <c r="D7" s="14" t="s">
        <v>30</v>
      </c>
      <c r="E7" s="14">
        <v>5</v>
      </c>
      <c r="F7" s="14"/>
      <c r="G7" s="15">
        <f>INDEX('03_Commuting Assumptions'!$B$3:$B$7,MATCH(C7,'03_Commuting Assumptions'!$A$3:$A$7,0))</f>
        <v>3.5</v>
      </c>
    </row>
    <row r="8" spans="1:7" x14ac:dyDescent="0.35">
      <c r="A8" s="14">
        <v>7</v>
      </c>
      <c r="B8" s="14" t="s">
        <v>27</v>
      </c>
      <c r="C8" s="14" t="s">
        <v>31</v>
      </c>
      <c r="D8" s="14" t="s">
        <v>33</v>
      </c>
      <c r="E8" s="14">
        <v>5</v>
      </c>
      <c r="F8" s="14"/>
      <c r="G8" s="15">
        <f>INDEX('03_Commuting Assumptions'!$B$3:$B$7,MATCH(C8,'03_Commuting Assumptions'!$A$3:$A$7,0))</f>
        <v>1</v>
      </c>
    </row>
    <row r="9" spans="1:7" x14ac:dyDescent="0.35">
      <c r="A9" s="14">
        <v>8</v>
      </c>
      <c r="B9" s="14" t="s">
        <v>27</v>
      </c>
      <c r="C9" s="14" t="s">
        <v>34</v>
      </c>
      <c r="D9" s="14" t="s">
        <v>35</v>
      </c>
      <c r="E9" s="14">
        <v>5</v>
      </c>
      <c r="F9" s="14"/>
      <c r="G9" s="15">
        <f>INDEX('03_Commuting Assumptions'!$B$3:$B$7,MATCH(C9,'03_Commuting Assumptions'!$A$3:$A$7,0))</f>
        <v>7.5</v>
      </c>
    </row>
    <row r="10" spans="1:7" x14ac:dyDescent="0.35">
      <c r="A10" s="14">
        <v>9</v>
      </c>
      <c r="B10" s="14" t="s">
        <v>27</v>
      </c>
      <c r="C10" s="14" t="s">
        <v>34</v>
      </c>
      <c r="D10" s="14" t="s">
        <v>29</v>
      </c>
      <c r="E10" s="14">
        <v>2</v>
      </c>
      <c r="F10" s="14"/>
      <c r="G10" s="15">
        <f>INDEX('03_Commuting Assumptions'!$B$3:$B$7,MATCH(C10,'03_Commuting Assumptions'!$A$3:$A$7,0))</f>
        <v>7.5</v>
      </c>
    </row>
    <row r="11" spans="1:7" x14ac:dyDescent="0.35">
      <c r="A11" s="14">
        <v>10</v>
      </c>
      <c r="B11" s="14" t="s">
        <v>27</v>
      </c>
      <c r="C11" s="14" t="s">
        <v>28</v>
      </c>
      <c r="D11" s="14" t="s">
        <v>33</v>
      </c>
      <c r="E11" s="14">
        <v>5</v>
      </c>
      <c r="F11" s="14"/>
      <c r="G11" s="15">
        <f>INDEX('03_Commuting Assumptions'!$B$3:$B$7,MATCH(C11,'03_Commuting Assumptions'!$A$3:$A$7,0))</f>
        <v>15</v>
      </c>
    </row>
    <row r="12" spans="1:7" x14ac:dyDescent="0.35">
      <c r="A12" s="14">
        <v>11</v>
      </c>
      <c r="B12" s="14" t="s">
        <v>27</v>
      </c>
      <c r="C12" s="14" t="s">
        <v>34</v>
      </c>
      <c r="D12" s="14" t="s">
        <v>36</v>
      </c>
      <c r="E12" s="14">
        <v>4</v>
      </c>
      <c r="F12" s="14" t="s">
        <v>37</v>
      </c>
      <c r="G12" s="15">
        <f>INDEX('03_Commuting Assumptions'!$B$3:$B$7,MATCH(C12,'03_Commuting Assumptions'!$A$3:$A$7,0))</f>
        <v>7.5</v>
      </c>
    </row>
    <row r="13" spans="1:7" x14ac:dyDescent="0.35">
      <c r="A13" s="14">
        <v>12</v>
      </c>
      <c r="B13" s="14" t="s">
        <v>27</v>
      </c>
      <c r="C13" s="14" t="s">
        <v>38</v>
      </c>
      <c r="D13" s="14" t="s">
        <v>30</v>
      </c>
      <c r="E13" s="14">
        <v>5</v>
      </c>
      <c r="F13" s="14"/>
      <c r="G13" s="15">
        <f>INDEX('03_Commuting Assumptions'!$B$3:$B$7,MATCH(C13,'03_Commuting Assumptions'!$A$3:$A$7,0))</f>
        <v>25</v>
      </c>
    </row>
    <row r="14" spans="1:7" x14ac:dyDescent="0.35">
      <c r="A14" s="14">
        <v>13</v>
      </c>
      <c r="B14" s="14" t="s">
        <v>27</v>
      </c>
      <c r="C14" s="14" t="s">
        <v>28</v>
      </c>
      <c r="D14" s="14" t="s">
        <v>33</v>
      </c>
      <c r="E14" s="14">
        <v>2</v>
      </c>
      <c r="F14" s="14"/>
      <c r="G14" s="15">
        <f>INDEX('03_Commuting Assumptions'!$B$3:$B$7,MATCH(C14,'03_Commuting Assumptions'!$A$3:$A$7,0))</f>
        <v>15</v>
      </c>
    </row>
    <row r="15" spans="1:7" x14ac:dyDescent="0.35">
      <c r="A15" s="14">
        <v>14</v>
      </c>
      <c r="B15" s="14" t="s">
        <v>27</v>
      </c>
      <c r="C15" s="14" t="s">
        <v>32</v>
      </c>
      <c r="D15" s="14" t="s">
        <v>35</v>
      </c>
      <c r="E15" s="14">
        <v>2</v>
      </c>
      <c r="F15" s="14"/>
      <c r="G15" s="15">
        <f>INDEX('03_Commuting Assumptions'!$B$3:$B$7,MATCH(C15,'03_Commuting Assumptions'!$A$3:$A$7,0))</f>
        <v>3.5</v>
      </c>
    </row>
    <row r="16" spans="1:7" x14ac:dyDescent="0.35">
      <c r="A16" s="14">
        <v>15</v>
      </c>
      <c r="B16" s="14" t="s">
        <v>27</v>
      </c>
      <c r="C16" s="14" t="s">
        <v>32</v>
      </c>
      <c r="D16" s="14" t="s">
        <v>35</v>
      </c>
      <c r="E16" s="14">
        <v>4</v>
      </c>
      <c r="F16" s="14"/>
      <c r="G16" s="15">
        <f>INDEX('03_Commuting Assumptions'!$B$3:$B$7,MATCH(C16,'03_Commuting Assumptions'!$A$3:$A$7,0))</f>
        <v>3.5</v>
      </c>
    </row>
    <row r="17" spans="1:7" x14ac:dyDescent="0.35">
      <c r="A17" s="14">
        <v>16</v>
      </c>
      <c r="B17" s="14" t="s">
        <v>27</v>
      </c>
      <c r="C17" s="14" t="s">
        <v>28</v>
      </c>
      <c r="D17" s="14" t="s">
        <v>30</v>
      </c>
      <c r="E17" s="14">
        <v>4</v>
      </c>
      <c r="F17" s="14"/>
      <c r="G17" s="15">
        <f>INDEX('03_Commuting Assumptions'!$B$3:$B$7,MATCH(C17,'03_Commuting Assumptions'!$A$3:$A$7,0))</f>
        <v>15</v>
      </c>
    </row>
    <row r="18" spans="1:7" x14ac:dyDescent="0.35">
      <c r="A18" s="14">
        <v>17</v>
      </c>
      <c r="B18" s="14" t="s">
        <v>39</v>
      </c>
      <c r="C18" s="14" t="s">
        <v>31</v>
      </c>
      <c r="D18" s="14" t="s">
        <v>29</v>
      </c>
      <c r="E18" s="14">
        <v>5</v>
      </c>
      <c r="F18" s="14"/>
      <c r="G18" s="15">
        <f>INDEX('03_Commuting Assumptions'!$B$3:$B$7,MATCH(C18,'03_Commuting Assumptions'!$A$3:$A$7,0))</f>
        <v>1</v>
      </c>
    </row>
    <row r="19" spans="1:7" x14ac:dyDescent="0.35">
      <c r="A19" s="14">
        <v>18</v>
      </c>
      <c r="B19" s="14" t="s">
        <v>39</v>
      </c>
      <c r="C19" s="14" t="s">
        <v>32</v>
      </c>
      <c r="D19" s="14" t="s">
        <v>29</v>
      </c>
      <c r="E19" s="14">
        <v>4</v>
      </c>
      <c r="F19" s="14" t="s">
        <v>40</v>
      </c>
      <c r="G19" s="15">
        <f>INDEX('03_Commuting Assumptions'!$B$3:$B$7,MATCH(C19,'03_Commuting Assumptions'!$A$3:$A$7,0))</f>
        <v>3.5</v>
      </c>
    </row>
    <row r="20" spans="1:7" x14ac:dyDescent="0.35">
      <c r="A20" s="14">
        <v>19</v>
      </c>
      <c r="B20" s="14" t="s">
        <v>39</v>
      </c>
      <c r="C20" s="14" t="s">
        <v>32</v>
      </c>
      <c r="D20" s="14" t="s">
        <v>36</v>
      </c>
      <c r="E20" s="14">
        <v>4</v>
      </c>
      <c r="F20" s="14" t="s">
        <v>37</v>
      </c>
      <c r="G20" s="15">
        <f>INDEX('03_Commuting Assumptions'!$B$3:$B$7,MATCH(C20,'03_Commuting Assumptions'!$A$3:$A$7,0))</f>
        <v>3.5</v>
      </c>
    </row>
    <row r="21" spans="1:7" x14ac:dyDescent="0.35">
      <c r="A21" s="14">
        <v>20</v>
      </c>
      <c r="B21" s="14" t="s">
        <v>39</v>
      </c>
      <c r="C21" s="14" t="s">
        <v>34</v>
      </c>
      <c r="D21" s="14" t="s">
        <v>30</v>
      </c>
      <c r="E21" s="14">
        <v>4</v>
      </c>
      <c r="F21" s="14"/>
      <c r="G21" s="15">
        <f>INDEX('03_Commuting Assumptions'!$B$3:$B$7,MATCH(C21,'03_Commuting Assumptions'!$A$3:$A$7,0))</f>
        <v>7.5</v>
      </c>
    </row>
    <row r="22" spans="1:7" x14ac:dyDescent="0.35">
      <c r="A22" s="14">
        <v>21</v>
      </c>
      <c r="B22" s="14" t="s">
        <v>39</v>
      </c>
      <c r="C22" s="14" t="s">
        <v>31</v>
      </c>
      <c r="D22" s="14" t="s">
        <v>29</v>
      </c>
      <c r="E22" s="14">
        <v>3</v>
      </c>
      <c r="F22" s="14"/>
      <c r="G22" s="15">
        <f>INDEX('03_Commuting Assumptions'!$B$3:$B$7,MATCH(C22,'03_Commuting Assumptions'!$A$3:$A$7,0))</f>
        <v>1</v>
      </c>
    </row>
    <row r="23" spans="1:7" x14ac:dyDescent="0.35">
      <c r="A23" s="14">
        <v>22</v>
      </c>
      <c r="B23" s="14" t="s">
        <v>39</v>
      </c>
      <c r="C23" s="14" t="s">
        <v>31</v>
      </c>
      <c r="D23" s="14" t="s">
        <v>36</v>
      </c>
      <c r="E23" s="14">
        <v>5</v>
      </c>
      <c r="F23" s="14" t="s">
        <v>37</v>
      </c>
      <c r="G23" s="15">
        <f>INDEX('03_Commuting Assumptions'!$B$3:$B$7,MATCH(C23,'03_Commuting Assumptions'!$A$3:$A$7,0))</f>
        <v>1</v>
      </c>
    </row>
    <row r="24" spans="1:7" x14ac:dyDescent="0.35">
      <c r="A24" s="14">
        <v>23</v>
      </c>
      <c r="B24" s="14" t="s">
        <v>39</v>
      </c>
      <c r="C24" s="14" t="s">
        <v>34</v>
      </c>
      <c r="D24" s="14" t="s">
        <v>29</v>
      </c>
      <c r="E24" s="14">
        <v>5</v>
      </c>
      <c r="F24" s="14"/>
      <c r="G24" s="15">
        <f>INDEX('03_Commuting Assumptions'!$B$3:$B$7,MATCH(C24,'03_Commuting Assumptions'!$A$3:$A$7,0))</f>
        <v>7.5</v>
      </c>
    </row>
    <row r="25" spans="1:7" x14ac:dyDescent="0.35">
      <c r="A25" s="14">
        <v>24</v>
      </c>
      <c r="B25" s="14" t="s">
        <v>39</v>
      </c>
      <c r="C25" s="14" t="s">
        <v>31</v>
      </c>
      <c r="D25" s="14" t="s">
        <v>29</v>
      </c>
      <c r="E25" s="14">
        <v>4</v>
      </c>
      <c r="F25" s="14"/>
      <c r="G25" s="15">
        <f>INDEX('03_Commuting Assumptions'!$B$3:$B$7,MATCH(C25,'03_Commuting Assumptions'!$A$3:$A$7,0))</f>
        <v>1</v>
      </c>
    </row>
    <row r="26" spans="1:7" x14ac:dyDescent="0.35">
      <c r="A26" s="14">
        <v>25</v>
      </c>
      <c r="B26" s="14" t="s">
        <v>39</v>
      </c>
      <c r="C26" s="14" t="s">
        <v>32</v>
      </c>
      <c r="D26" s="14" t="s">
        <v>33</v>
      </c>
      <c r="E26" s="14">
        <v>3</v>
      </c>
      <c r="F26" s="14"/>
      <c r="G26" s="15">
        <f>INDEX('03_Commuting Assumptions'!$B$3:$B$7,MATCH(C26,'03_Commuting Assumptions'!$A$3:$A$7,0))</f>
        <v>3.5</v>
      </c>
    </row>
    <row r="27" spans="1:7" x14ac:dyDescent="0.35">
      <c r="A27" s="14">
        <v>26</v>
      </c>
      <c r="B27" s="14" t="s">
        <v>39</v>
      </c>
      <c r="C27" s="14" t="s">
        <v>31</v>
      </c>
      <c r="D27" s="14" t="s">
        <v>36</v>
      </c>
      <c r="E27" s="14">
        <v>4</v>
      </c>
      <c r="F27" s="14" t="s">
        <v>37</v>
      </c>
      <c r="G27" s="15">
        <f>INDEX('03_Commuting Assumptions'!$B$3:$B$7,MATCH(C27,'03_Commuting Assumptions'!$A$3:$A$7,0))</f>
        <v>1</v>
      </c>
    </row>
    <row r="28" spans="1:7" x14ac:dyDescent="0.35">
      <c r="A28" s="14">
        <v>27</v>
      </c>
      <c r="B28" s="14" t="s">
        <v>39</v>
      </c>
      <c r="C28" s="14" t="s">
        <v>31</v>
      </c>
      <c r="D28" s="14" t="s">
        <v>29</v>
      </c>
      <c r="E28" s="14">
        <v>4</v>
      </c>
      <c r="F28" s="14"/>
      <c r="G28" s="15">
        <f>INDEX('03_Commuting Assumptions'!$B$3:$B$7,MATCH(C28,'03_Commuting Assumptions'!$A$3:$A$7,0))</f>
        <v>1</v>
      </c>
    </row>
    <row r="29" spans="1:7" x14ac:dyDescent="0.35">
      <c r="A29" s="14">
        <v>28</v>
      </c>
      <c r="B29" s="14" t="s">
        <v>39</v>
      </c>
      <c r="C29" s="14" t="s">
        <v>32</v>
      </c>
      <c r="D29" s="14" t="s">
        <v>29</v>
      </c>
      <c r="E29" s="14">
        <v>3</v>
      </c>
      <c r="F29" s="14"/>
      <c r="G29" s="15">
        <f>INDEX('03_Commuting Assumptions'!$B$3:$B$7,MATCH(C29,'03_Commuting Assumptions'!$A$3:$A$7,0))</f>
        <v>3.5</v>
      </c>
    </row>
    <row r="30" spans="1:7" x14ac:dyDescent="0.35">
      <c r="A30" s="14">
        <v>29</v>
      </c>
      <c r="B30" s="14" t="s">
        <v>39</v>
      </c>
      <c r="C30" s="14" t="s">
        <v>32</v>
      </c>
      <c r="D30" s="14" t="s">
        <v>36</v>
      </c>
      <c r="E30" s="14">
        <v>5</v>
      </c>
      <c r="F30" s="14" t="s">
        <v>37</v>
      </c>
      <c r="G30" s="15">
        <f>INDEX('03_Commuting Assumptions'!$B$3:$B$7,MATCH(C30,'03_Commuting Assumptions'!$A$3:$A$7,0))</f>
        <v>3.5</v>
      </c>
    </row>
    <row r="31" spans="1:7" x14ac:dyDescent="0.35">
      <c r="A31" s="14">
        <v>30</v>
      </c>
      <c r="B31" s="14" t="s">
        <v>39</v>
      </c>
      <c r="C31" s="14" t="s">
        <v>34</v>
      </c>
      <c r="D31" s="14" t="s">
        <v>35</v>
      </c>
      <c r="E31" s="14">
        <v>4</v>
      </c>
      <c r="F31" s="14"/>
      <c r="G31" s="15">
        <f>INDEX('03_Commuting Assumptions'!$B$3:$B$7,MATCH(C31,'03_Commuting Assumptions'!$A$3:$A$7,0))</f>
        <v>7.5</v>
      </c>
    </row>
    <row r="32" spans="1:7" x14ac:dyDescent="0.35">
      <c r="A32" s="14">
        <v>31</v>
      </c>
      <c r="B32" s="14" t="s">
        <v>39</v>
      </c>
      <c r="C32" s="14" t="s">
        <v>31</v>
      </c>
      <c r="D32" s="14" t="s">
        <v>35</v>
      </c>
      <c r="E32" s="14">
        <v>2</v>
      </c>
      <c r="F32" s="14"/>
      <c r="G32" s="15">
        <f>INDEX('03_Commuting Assumptions'!$B$3:$B$7,MATCH(C32,'03_Commuting Assumptions'!$A$3:$A$7,0))</f>
        <v>1</v>
      </c>
    </row>
    <row r="33" spans="1:7" x14ac:dyDescent="0.35">
      <c r="A33" s="14">
        <v>32</v>
      </c>
      <c r="B33" s="14" t="s">
        <v>39</v>
      </c>
      <c r="C33" s="14" t="s">
        <v>32</v>
      </c>
      <c r="D33" s="14" t="s">
        <v>35</v>
      </c>
      <c r="E33" s="14">
        <v>5</v>
      </c>
      <c r="F33" s="14"/>
      <c r="G33" s="15">
        <f>INDEX('03_Commuting Assumptions'!$B$3:$B$7,MATCH(C33,'03_Commuting Assumptions'!$A$3:$A$7,0))</f>
        <v>3.5</v>
      </c>
    </row>
    <row r="34" spans="1:7" x14ac:dyDescent="0.35">
      <c r="A34" s="14">
        <v>33</v>
      </c>
      <c r="B34" s="14" t="s">
        <v>39</v>
      </c>
      <c r="C34" s="14" t="s">
        <v>28</v>
      </c>
      <c r="D34" s="14" t="s">
        <v>29</v>
      </c>
      <c r="E34" s="14">
        <v>4</v>
      </c>
      <c r="F34" s="14" t="s">
        <v>40</v>
      </c>
      <c r="G34" s="15">
        <f>INDEX('03_Commuting Assumptions'!$B$3:$B$7,MATCH(C34,'03_Commuting Assumptions'!$A$3:$A$7,0))</f>
        <v>15</v>
      </c>
    </row>
    <row r="35" spans="1:7" x14ac:dyDescent="0.35">
      <c r="A35" s="14">
        <v>34</v>
      </c>
      <c r="B35" s="14" t="s">
        <v>39</v>
      </c>
      <c r="C35" s="14" t="s">
        <v>28</v>
      </c>
      <c r="D35" s="14" t="s">
        <v>33</v>
      </c>
      <c r="E35" s="14">
        <v>3</v>
      </c>
      <c r="F35" s="14"/>
      <c r="G35" s="15">
        <f>INDEX('03_Commuting Assumptions'!$B$3:$B$7,MATCH(C35,'03_Commuting Assumptions'!$A$3:$A$7,0))</f>
        <v>15</v>
      </c>
    </row>
    <row r="36" spans="1:7" x14ac:dyDescent="0.35">
      <c r="A36" s="14">
        <v>35</v>
      </c>
      <c r="B36" s="14" t="s">
        <v>39</v>
      </c>
      <c r="C36" s="14" t="s">
        <v>32</v>
      </c>
      <c r="D36" s="14" t="s">
        <v>35</v>
      </c>
      <c r="E36" s="14">
        <v>3</v>
      </c>
      <c r="F36" s="14"/>
      <c r="G36" s="15">
        <f>INDEX('03_Commuting Assumptions'!$B$3:$B$7,MATCH(C36,'03_Commuting Assumptions'!$A$3:$A$7,0))</f>
        <v>3.5</v>
      </c>
    </row>
    <row r="37" spans="1:7" x14ac:dyDescent="0.35">
      <c r="A37" s="14">
        <v>36</v>
      </c>
      <c r="B37" s="14" t="s">
        <v>39</v>
      </c>
      <c r="C37" s="14" t="s">
        <v>34</v>
      </c>
      <c r="D37" s="14" t="s">
        <v>35</v>
      </c>
      <c r="E37" s="14">
        <v>4</v>
      </c>
      <c r="F37" s="14"/>
      <c r="G37" s="15">
        <f>INDEX('03_Commuting Assumptions'!$B$3:$B$7,MATCH(C37,'03_Commuting Assumptions'!$A$3:$A$7,0))</f>
        <v>7.5</v>
      </c>
    </row>
    <row r="38" spans="1:7" x14ac:dyDescent="0.35">
      <c r="A38" s="14">
        <v>37</v>
      </c>
      <c r="B38" s="14" t="s">
        <v>39</v>
      </c>
      <c r="C38" s="14" t="s">
        <v>32</v>
      </c>
      <c r="D38" s="14" t="s">
        <v>29</v>
      </c>
      <c r="E38" s="14">
        <v>3</v>
      </c>
      <c r="F38" s="14" t="s">
        <v>40</v>
      </c>
      <c r="G38" s="15">
        <f>INDEX('03_Commuting Assumptions'!$B$3:$B$7,MATCH(C38,'03_Commuting Assumptions'!$A$3:$A$7,0))</f>
        <v>3.5</v>
      </c>
    </row>
    <row r="39" spans="1:7" x14ac:dyDescent="0.35">
      <c r="A39" s="14">
        <v>38</v>
      </c>
      <c r="B39" s="14" t="s">
        <v>39</v>
      </c>
      <c r="C39" s="14" t="s">
        <v>28</v>
      </c>
      <c r="D39" s="14" t="s">
        <v>33</v>
      </c>
      <c r="E39" s="14">
        <v>5</v>
      </c>
      <c r="F39" s="14"/>
      <c r="G39" s="15">
        <f>INDEX('03_Commuting Assumptions'!$B$3:$B$7,MATCH(C39,'03_Commuting Assumptions'!$A$3:$A$7,0))</f>
        <v>15</v>
      </c>
    </row>
    <row r="40" spans="1:7" x14ac:dyDescent="0.35">
      <c r="A40" s="14">
        <v>39</v>
      </c>
      <c r="B40" s="14" t="s">
        <v>39</v>
      </c>
      <c r="C40" s="14" t="s">
        <v>31</v>
      </c>
      <c r="D40" s="14" t="s">
        <v>29</v>
      </c>
      <c r="E40" s="14">
        <v>5</v>
      </c>
      <c r="F40" s="14"/>
      <c r="G40" s="15">
        <f>INDEX('03_Commuting Assumptions'!$B$3:$B$7,MATCH(C40,'03_Commuting Assumptions'!$A$3:$A$7,0))</f>
        <v>1</v>
      </c>
    </row>
    <row r="41" spans="1:7" x14ac:dyDescent="0.35">
      <c r="A41" s="14">
        <v>40</v>
      </c>
      <c r="B41" s="14" t="s">
        <v>39</v>
      </c>
      <c r="C41" s="14" t="s">
        <v>31</v>
      </c>
      <c r="D41" s="14" t="s">
        <v>35</v>
      </c>
      <c r="E41" s="14">
        <v>2</v>
      </c>
      <c r="F41" s="14"/>
      <c r="G41" s="15">
        <f>INDEX('03_Commuting Assumptions'!$B$3:$B$7,MATCH(C41,'03_Commuting Assumptions'!$A$3:$A$7,0))</f>
        <v>1</v>
      </c>
    </row>
    <row r="42" spans="1:7" x14ac:dyDescent="0.35">
      <c r="A42" s="14">
        <v>41</v>
      </c>
      <c r="B42" s="14" t="s">
        <v>39</v>
      </c>
      <c r="C42" s="14" t="s">
        <v>34</v>
      </c>
      <c r="D42" s="14" t="s">
        <v>30</v>
      </c>
      <c r="E42" s="14">
        <v>2</v>
      </c>
      <c r="F42" s="14"/>
      <c r="G42" s="15">
        <f>INDEX('03_Commuting Assumptions'!$B$3:$B$7,MATCH(C42,'03_Commuting Assumptions'!$A$3:$A$7,0))</f>
        <v>7.5</v>
      </c>
    </row>
    <row r="43" spans="1:7" x14ac:dyDescent="0.35">
      <c r="A43" s="14">
        <v>42</v>
      </c>
      <c r="B43" s="14" t="s">
        <v>39</v>
      </c>
      <c r="C43" s="14" t="s">
        <v>32</v>
      </c>
      <c r="D43" s="14" t="s">
        <v>35</v>
      </c>
      <c r="E43" s="14">
        <v>3</v>
      </c>
      <c r="F43" s="14"/>
      <c r="G43" s="15">
        <f>INDEX('03_Commuting Assumptions'!$B$3:$B$7,MATCH(C43,'03_Commuting Assumptions'!$A$3:$A$7,0))</f>
        <v>3.5</v>
      </c>
    </row>
    <row r="44" spans="1:7" x14ac:dyDescent="0.35">
      <c r="A44" s="14">
        <v>43</v>
      </c>
      <c r="B44" s="14" t="s">
        <v>39</v>
      </c>
      <c r="C44" s="14" t="s">
        <v>28</v>
      </c>
      <c r="D44" s="14" t="s">
        <v>35</v>
      </c>
      <c r="E44" s="14">
        <v>3</v>
      </c>
      <c r="F44" s="14"/>
      <c r="G44" s="15">
        <f>INDEX('03_Commuting Assumptions'!$B$3:$B$7,MATCH(C44,'03_Commuting Assumptions'!$A$3:$A$7,0))</f>
        <v>15</v>
      </c>
    </row>
    <row r="45" spans="1:7" x14ac:dyDescent="0.35">
      <c r="A45" s="14">
        <v>44</v>
      </c>
      <c r="B45" s="14" t="s">
        <v>39</v>
      </c>
      <c r="C45" s="14" t="s">
        <v>32</v>
      </c>
      <c r="D45" s="14" t="s">
        <v>35</v>
      </c>
      <c r="E45" s="14">
        <v>3</v>
      </c>
      <c r="F45" s="14"/>
      <c r="G45" s="15">
        <f>INDEX('03_Commuting Assumptions'!$B$3:$B$7,MATCH(C45,'03_Commuting Assumptions'!$A$3:$A$7,0))</f>
        <v>3.5</v>
      </c>
    </row>
    <row r="46" spans="1:7" x14ac:dyDescent="0.35">
      <c r="A46" s="14">
        <v>45</v>
      </c>
      <c r="B46" s="14" t="s">
        <v>39</v>
      </c>
      <c r="C46" s="14" t="s">
        <v>31</v>
      </c>
      <c r="D46" s="14" t="s">
        <v>36</v>
      </c>
      <c r="E46" s="14">
        <v>4</v>
      </c>
      <c r="F46" s="14" t="s">
        <v>37</v>
      </c>
      <c r="G46" s="15">
        <f>INDEX('03_Commuting Assumptions'!$B$3:$B$7,MATCH(C46,'03_Commuting Assumptions'!$A$3:$A$7,0))</f>
        <v>1</v>
      </c>
    </row>
    <row r="47" spans="1:7" x14ac:dyDescent="0.35">
      <c r="A47" s="14">
        <v>46</v>
      </c>
      <c r="B47" s="14" t="s">
        <v>39</v>
      </c>
      <c r="C47" s="14" t="s">
        <v>32</v>
      </c>
      <c r="D47" s="14" t="s">
        <v>29</v>
      </c>
      <c r="E47" s="14">
        <v>3</v>
      </c>
      <c r="F47" s="14"/>
      <c r="G47" s="15">
        <f>INDEX('03_Commuting Assumptions'!$B$3:$B$7,MATCH(C47,'03_Commuting Assumptions'!$A$3:$A$7,0))</f>
        <v>3.5</v>
      </c>
    </row>
    <row r="48" spans="1:7" x14ac:dyDescent="0.35">
      <c r="A48" s="14">
        <v>47</v>
      </c>
      <c r="B48" s="14" t="s">
        <v>39</v>
      </c>
      <c r="C48" s="14" t="s">
        <v>32</v>
      </c>
      <c r="D48" s="14" t="s">
        <v>29</v>
      </c>
      <c r="E48" s="14">
        <v>3</v>
      </c>
      <c r="F48" s="14" t="s">
        <v>40</v>
      </c>
      <c r="G48" s="15">
        <f>INDEX('03_Commuting Assumptions'!$B$3:$B$7,MATCH(C48,'03_Commuting Assumptions'!$A$3:$A$7,0))</f>
        <v>3.5</v>
      </c>
    </row>
    <row r="49" spans="1:7" x14ac:dyDescent="0.35">
      <c r="A49" s="14">
        <v>48</v>
      </c>
      <c r="B49" s="14" t="s">
        <v>39</v>
      </c>
      <c r="C49" s="14" t="s">
        <v>32</v>
      </c>
      <c r="D49" s="14" t="s">
        <v>29</v>
      </c>
      <c r="E49" s="14">
        <v>5</v>
      </c>
      <c r="F49" s="14"/>
      <c r="G49" s="15">
        <f>INDEX('03_Commuting Assumptions'!$B$3:$B$7,MATCH(C49,'03_Commuting Assumptions'!$A$3:$A$7,0))</f>
        <v>3.5</v>
      </c>
    </row>
    <row r="50" spans="1:7" x14ac:dyDescent="0.35">
      <c r="A50" s="14">
        <v>49</v>
      </c>
      <c r="B50" s="14" t="s">
        <v>39</v>
      </c>
      <c r="C50" s="14" t="s">
        <v>31</v>
      </c>
      <c r="D50" s="14" t="s">
        <v>29</v>
      </c>
      <c r="E50" s="14">
        <v>4</v>
      </c>
      <c r="F50" s="14"/>
      <c r="G50" s="15">
        <f>INDEX('03_Commuting Assumptions'!$B$3:$B$7,MATCH(C50,'03_Commuting Assumptions'!$A$3:$A$7,0))</f>
        <v>1</v>
      </c>
    </row>
    <row r="51" spans="1:7" x14ac:dyDescent="0.35">
      <c r="A51" s="14">
        <v>50</v>
      </c>
      <c r="B51" s="14" t="s">
        <v>39</v>
      </c>
      <c r="C51" s="14" t="s">
        <v>31</v>
      </c>
      <c r="D51" s="14" t="s">
        <v>36</v>
      </c>
      <c r="E51" s="14">
        <v>4</v>
      </c>
      <c r="F51" s="14" t="s">
        <v>37</v>
      </c>
      <c r="G51" s="15">
        <f>INDEX('03_Commuting Assumptions'!$B$3:$B$7,MATCH(C51,'03_Commuting Assumptions'!$A$3:$A$7,0))</f>
        <v>1</v>
      </c>
    </row>
    <row r="52" spans="1:7" x14ac:dyDescent="0.35">
      <c r="A52" s="14">
        <v>51</v>
      </c>
      <c r="B52" s="14" t="s">
        <v>39</v>
      </c>
      <c r="C52" s="14" t="s">
        <v>34</v>
      </c>
      <c r="D52" s="14" t="s">
        <v>30</v>
      </c>
      <c r="E52" s="14">
        <v>3</v>
      </c>
      <c r="F52" s="14"/>
      <c r="G52" s="15">
        <f>INDEX('03_Commuting Assumptions'!$B$3:$B$7,MATCH(C52,'03_Commuting Assumptions'!$A$3:$A$7,0))</f>
        <v>7.5</v>
      </c>
    </row>
    <row r="53" spans="1:7" x14ac:dyDescent="0.35">
      <c r="A53" s="14">
        <v>52</v>
      </c>
      <c r="B53" s="14" t="s">
        <v>39</v>
      </c>
      <c r="C53" s="14" t="s">
        <v>31</v>
      </c>
      <c r="D53" s="14" t="s">
        <v>35</v>
      </c>
      <c r="E53" s="14">
        <v>3</v>
      </c>
      <c r="F53" s="14"/>
      <c r="G53" s="15">
        <f>INDEX('03_Commuting Assumptions'!$B$3:$B$7,MATCH(C53,'03_Commuting Assumptions'!$A$3:$A$7,0))</f>
        <v>1</v>
      </c>
    </row>
    <row r="54" spans="1:7" x14ac:dyDescent="0.35">
      <c r="A54" s="14">
        <v>53</v>
      </c>
      <c r="B54" s="14" t="s">
        <v>39</v>
      </c>
      <c r="C54" s="14" t="s">
        <v>32</v>
      </c>
      <c r="D54" s="14" t="s">
        <v>35</v>
      </c>
      <c r="E54" s="14">
        <v>4</v>
      </c>
      <c r="F54" s="14"/>
      <c r="G54" s="15">
        <f>INDEX('03_Commuting Assumptions'!$B$3:$B$7,MATCH(C54,'03_Commuting Assumptions'!$A$3:$A$7,0))</f>
        <v>3.5</v>
      </c>
    </row>
    <row r="55" spans="1:7" x14ac:dyDescent="0.35">
      <c r="A55" s="14">
        <v>54</v>
      </c>
      <c r="B55" s="14" t="s">
        <v>39</v>
      </c>
      <c r="C55" s="14" t="s">
        <v>38</v>
      </c>
      <c r="D55" s="14" t="s">
        <v>29</v>
      </c>
      <c r="E55" s="14">
        <v>3</v>
      </c>
      <c r="F55" s="14"/>
      <c r="G55" s="15">
        <f>INDEX('03_Commuting Assumptions'!$B$3:$B$7,MATCH(C55,'03_Commuting Assumptions'!$A$3:$A$7,0))</f>
        <v>25</v>
      </c>
    </row>
    <row r="56" spans="1:7" x14ac:dyDescent="0.35">
      <c r="A56" s="14">
        <v>55</v>
      </c>
      <c r="B56" s="14" t="s">
        <v>39</v>
      </c>
      <c r="C56" s="14" t="s">
        <v>28</v>
      </c>
      <c r="D56" s="14" t="s">
        <v>29</v>
      </c>
      <c r="E56" s="14">
        <v>3</v>
      </c>
      <c r="F56" s="14"/>
      <c r="G56" s="15">
        <f>INDEX('03_Commuting Assumptions'!$B$3:$B$7,MATCH(C56,'03_Commuting Assumptions'!$A$3:$A$7,0))</f>
        <v>15</v>
      </c>
    </row>
    <row r="57" spans="1:7" x14ac:dyDescent="0.35">
      <c r="A57" s="14">
        <v>56</v>
      </c>
      <c r="B57" s="14" t="s">
        <v>39</v>
      </c>
      <c r="C57" s="14" t="s">
        <v>32</v>
      </c>
      <c r="D57" s="14" t="s">
        <v>29</v>
      </c>
      <c r="E57" s="14">
        <v>3</v>
      </c>
      <c r="F57" s="14"/>
      <c r="G57" s="15">
        <f>INDEX('03_Commuting Assumptions'!$B$3:$B$7,MATCH(C57,'03_Commuting Assumptions'!$A$3:$A$7,0))</f>
        <v>3.5</v>
      </c>
    </row>
    <row r="58" spans="1:7" x14ac:dyDescent="0.35">
      <c r="A58" s="14">
        <v>57</v>
      </c>
      <c r="B58" s="14" t="s">
        <v>39</v>
      </c>
      <c r="C58" s="14" t="s">
        <v>32</v>
      </c>
      <c r="D58" s="14" t="s">
        <v>33</v>
      </c>
      <c r="E58" s="14">
        <v>4</v>
      </c>
      <c r="F58" s="14"/>
      <c r="G58" s="15">
        <f>INDEX('03_Commuting Assumptions'!$B$3:$B$7,MATCH(C58,'03_Commuting Assumptions'!$A$3:$A$7,0))</f>
        <v>3.5</v>
      </c>
    </row>
    <row r="59" spans="1:7" x14ac:dyDescent="0.35">
      <c r="A59" s="14">
        <v>58</v>
      </c>
      <c r="B59" s="14" t="s">
        <v>39</v>
      </c>
      <c r="C59" s="14" t="s">
        <v>31</v>
      </c>
      <c r="D59" s="14" t="s">
        <v>36</v>
      </c>
      <c r="E59" s="14">
        <v>5</v>
      </c>
      <c r="F59" s="14"/>
      <c r="G59" s="15">
        <f>INDEX('03_Commuting Assumptions'!$B$3:$B$7,MATCH(C59,'03_Commuting Assumptions'!$A$3:$A$7,0))</f>
        <v>1</v>
      </c>
    </row>
    <row r="60" spans="1:7" x14ac:dyDescent="0.35">
      <c r="A60" s="14">
        <v>59</v>
      </c>
      <c r="B60" s="14" t="s">
        <v>39</v>
      </c>
      <c r="C60" s="14" t="s">
        <v>28</v>
      </c>
      <c r="D60" s="14" t="s">
        <v>30</v>
      </c>
      <c r="E60" s="14">
        <v>3</v>
      </c>
      <c r="F60" s="14"/>
      <c r="G60" s="15">
        <f>INDEX('03_Commuting Assumptions'!$B$3:$B$7,MATCH(C60,'03_Commuting Assumptions'!$A$3:$A$7,0))</f>
        <v>15</v>
      </c>
    </row>
    <row r="61" spans="1:7" x14ac:dyDescent="0.35">
      <c r="A61" s="14">
        <v>60</v>
      </c>
      <c r="B61" s="14" t="s">
        <v>39</v>
      </c>
      <c r="C61" s="14" t="s">
        <v>32</v>
      </c>
      <c r="D61" s="14" t="s">
        <v>29</v>
      </c>
      <c r="E61" s="14">
        <v>3</v>
      </c>
      <c r="F61" s="14" t="s">
        <v>40</v>
      </c>
      <c r="G61" s="15">
        <f>INDEX('03_Commuting Assumptions'!$B$3:$B$7,MATCH(C61,'03_Commuting Assumptions'!$A$3:$A$7,0))</f>
        <v>3.5</v>
      </c>
    </row>
    <row r="63" spans="1:7" x14ac:dyDescent="0.35">
      <c r="A63" s="16" t="s">
        <v>41</v>
      </c>
    </row>
  </sheetData>
  <pageMargins left="0.75" right="0.75" top="1" bottom="1" header="0.511811023622047" footer="0.511811023622047"/>
  <pageSetup fitToHeight="0" orientation="landscape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A1:H28"/>
  <sheetViews>
    <sheetView zoomScaleNormal="100" workbookViewId="0">
      <selection activeCell="F22" sqref="F22"/>
    </sheetView>
  </sheetViews>
  <sheetFormatPr defaultColWidth="8.6328125" defaultRowHeight="14.5" x14ac:dyDescent="0.35"/>
  <cols>
    <col min="1" max="1" width="22" customWidth="1"/>
    <col min="2" max="2" width="20" customWidth="1"/>
    <col min="3" max="8" width="16" customWidth="1"/>
  </cols>
  <sheetData>
    <row r="1" spans="1:5" ht="15.5" x14ac:dyDescent="0.35">
      <c r="A1" s="3" t="s">
        <v>42</v>
      </c>
      <c r="B1" s="3"/>
      <c r="C1" s="3"/>
      <c r="D1" s="3"/>
    </row>
    <row r="2" spans="1:5" ht="26" x14ac:dyDescent="0.35">
      <c r="A2" s="12" t="s">
        <v>43</v>
      </c>
      <c r="B2" s="12" t="s">
        <v>44</v>
      </c>
    </row>
    <row r="3" spans="1:5" x14ac:dyDescent="0.35">
      <c r="A3" s="17" t="s">
        <v>31</v>
      </c>
      <c r="B3" s="17">
        <v>1</v>
      </c>
    </row>
    <row r="4" spans="1:5" x14ac:dyDescent="0.35">
      <c r="A4" s="17" t="s">
        <v>32</v>
      </c>
      <c r="B4" s="17">
        <v>3.5</v>
      </c>
    </row>
    <row r="5" spans="1:5" x14ac:dyDescent="0.35">
      <c r="A5" s="17" t="s">
        <v>34</v>
      </c>
      <c r="B5" s="17">
        <v>7.5</v>
      </c>
    </row>
    <row r="6" spans="1:5" x14ac:dyDescent="0.35">
      <c r="A6" s="17" t="s">
        <v>28</v>
      </c>
      <c r="B6" s="17">
        <v>15</v>
      </c>
    </row>
    <row r="7" spans="1:5" x14ac:dyDescent="0.35">
      <c r="A7" s="17" t="s">
        <v>38</v>
      </c>
      <c r="B7" s="17">
        <v>25</v>
      </c>
    </row>
    <row r="10" spans="1:5" ht="15.5" x14ac:dyDescent="0.35">
      <c r="A10" s="3" t="s">
        <v>45</v>
      </c>
      <c r="B10" s="3"/>
      <c r="C10" s="3"/>
      <c r="D10" s="3"/>
      <c r="E10" s="3"/>
    </row>
    <row r="11" spans="1:5" x14ac:dyDescent="0.35">
      <c r="A11" s="12" t="s">
        <v>46</v>
      </c>
      <c r="B11" s="12" t="s">
        <v>47</v>
      </c>
      <c r="C11" s="12" t="s">
        <v>48</v>
      </c>
      <c r="D11" s="12" t="s">
        <v>49</v>
      </c>
      <c r="E11" s="12" t="s">
        <v>50</v>
      </c>
    </row>
    <row r="12" spans="1:5" x14ac:dyDescent="0.35">
      <c r="A12" s="14" t="s">
        <v>29</v>
      </c>
      <c r="B12" s="14">
        <f>COUNTIF('02_Commuting Survey Responses'!$D$2:$D$61,A12)</f>
        <v>20</v>
      </c>
      <c r="C12" s="18">
        <f>B12/60</f>
        <v>0.33333333333333331</v>
      </c>
      <c r="D12" s="19">
        <f>IFERROR(AVERAGEIF('02_Commuting Survey Responses'!$D$2:$D$61,A12,'02_Commuting Survey Responses'!$G$2:$G$61),0)</f>
        <v>5.95</v>
      </c>
      <c r="E12" s="19">
        <f>IFERROR(AVERAGEIF('02_Commuting Survey Responses'!$D$2:$D$61,A12,'02_Commuting Survey Responses'!$E$2:$E$61),0)</f>
        <v>3.65</v>
      </c>
    </row>
    <row r="13" spans="1:5" x14ac:dyDescent="0.35">
      <c r="A13" s="14" t="s">
        <v>35</v>
      </c>
      <c r="B13" s="14">
        <f>COUNTIF('02_Commuting Survey Responses'!$D$2:$D$61,A13)</f>
        <v>14</v>
      </c>
      <c r="C13" s="18">
        <f>B13/60</f>
        <v>0.23333333333333334</v>
      </c>
      <c r="D13" s="19">
        <f>IFERROR(AVERAGEIF('02_Commuting Survey Responses'!$D$2:$D$61,A13,'02_Commuting Survey Responses'!$G$2:$G$61),0)</f>
        <v>4.6428571428571432</v>
      </c>
      <c r="E13" s="19">
        <f>IFERROR(AVERAGEIF('02_Commuting Survey Responses'!$D$2:$D$61,A13,'02_Commuting Survey Responses'!$E$2:$E$61),0)</f>
        <v>3.3571428571428572</v>
      </c>
    </row>
    <row r="14" spans="1:5" x14ac:dyDescent="0.35">
      <c r="A14" s="14" t="s">
        <v>30</v>
      </c>
      <c r="B14" s="14">
        <f>COUNTIF('02_Commuting Survey Responses'!$D$2:$D$61,A14)</f>
        <v>11</v>
      </c>
      <c r="C14" s="18">
        <f>B14/60</f>
        <v>0.18333333333333332</v>
      </c>
      <c r="D14" s="19">
        <f>IFERROR(AVERAGEIF('02_Commuting Survey Responses'!$D$2:$D$61,A14,'02_Commuting Survey Responses'!$G$2:$G$61),0)</f>
        <v>9.454545454545455</v>
      </c>
      <c r="E14" s="19">
        <f>IFERROR(AVERAGEIF('02_Commuting Survey Responses'!$D$2:$D$61,A14,'02_Commuting Survey Responses'!$E$2:$E$61),0)</f>
        <v>3.5454545454545454</v>
      </c>
    </row>
    <row r="15" spans="1:5" x14ac:dyDescent="0.35">
      <c r="A15" s="14" t="s">
        <v>33</v>
      </c>
      <c r="B15" s="14">
        <f>COUNTIF('02_Commuting Survey Responses'!$D$2:$D$61,A15)</f>
        <v>7</v>
      </c>
      <c r="C15" s="18">
        <f>B15/60</f>
        <v>0.11666666666666667</v>
      </c>
      <c r="D15" s="19">
        <f>IFERROR(AVERAGEIF('02_Commuting Survey Responses'!$D$2:$D$61,A15,'02_Commuting Survey Responses'!$G$2:$G$61),0)</f>
        <v>9.7142857142857135</v>
      </c>
      <c r="E15" s="19">
        <f>IFERROR(AVERAGEIF('02_Commuting Survey Responses'!$D$2:$D$61,A15,'02_Commuting Survey Responses'!$E$2:$E$61),0)</f>
        <v>3.8571428571428572</v>
      </c>
    </row>
    <row r="16" spans="1:5" x14ac:dyDescent="0.35">
      <c r="A16" s="14" t="s">
        <v>36</v>
      </c>
      <c r="B16" s="14">
        <f>COUNTIF('02_Commuting Survey Responses'!$D$2:$D$61,A16)</f>
        <v>8</v>
      </c>
      <c r="C16" s="18">
        <f>B16/60</f>
        <v>0.13333333333333333</v>
      </c>
      <c r="D16" s="19">
        <f>IFERROR(AVERAGEIF('02_Commuting Survey Responses'!$D$2:$D$61,A16,'02_Commuting Survey Responses'!$G$2:$G$61),0)</f>
        <v>2.4375</v>
      </c>
      <c r="E16" s="19">
        <f>IFERROR(AVERAGEIF('02_Commuting Survey Responses'!$D$2:$D$61,A16,'02_Commuting Survey Responses'!$E$2:$E$61),0)</f>
        <v>4.375</v>
      </c>
    </row>
    <row r="19" spans="1:8" ht="15.5" x14ac:dyDescent="0.35">
      <c r="A19" s="3" t="s">
        <v>51</v>
      </c>
      <c r="B19" s="3"/>
      <c r="C19" s="3"/>
    </row>
    <row r="20" spans="1:8" x14ac:dyDescent="0.35">
      <c r="A20" s="12" t="s">
        <v>46</v>
      </c>
      <c r="B20" s="12" t="s">
        <v>52</v>
      </c>
    </row>
    <row r="21" spans="1:8" x14ac:dyDescent="0.35">
      <c r="A21" s="14" t="str">
        <f>A12</f>
        <v>Walk or cycle</v>
      </c>
      <c r="B21" s="19">
        <f>D12*2*E12*4.345</f>
        <v>188.725075</v>
      </c>
    </row>
    <row r="22" spans="1:8" x14ac:dyDescent="0.35">
      <c r="A22" s="14" t="str">
        <f>A13</f>
        <v>Public transport</v>
      </c>
      <c r="B22" s="19">
        <f>D13*2*E13*4.345</f>
        <v>135.44872448979592</v>
      </c>
    </row>
    <row r="23" spans="1:8" x14ac:dyDescent="0.35">
      <c r="A23" s="14" t="str">
        <f>A14</f>
        <v>Car (drive alone)</v>
      </c>
      <c r="B23" s="19">
        <f>D14*2*E14*4.345</f>
        <v>291.29454545454547</v>
      </c>
    </row>
    <row r="24" spans="1:8" x14ac:dyDescent="0.35">
      <c r="A24" s="14" t="str">
        <f>A15</f>
        <v>Car share</v>
      </c>
      <c r="B24" s="19">
        <f>D15*2*E15*4.345</f>
        <v>325.60897959183671</v>
      </c>
    </row>
    <row r="25" spans="1:8" x14ac:dyDescent="0.35">
      <c r="A25" s="14" t="str">
        <f>A16</f>
        <v>Mixed</v>
      </c>
      <c r="B25" s="19">
        <f>D16*2*E16*4.345</f>
        <v>92.670703124999989</v>
      </c>
    </row>
    <row r="28" spans="1:8" ht="33.75" customHeight="1" x14ac:dyDescent="0.35">
      <c r="A28" s="4" t="s">
        <v>53</v>
      </c>
      <c r="B28" s="4"/>
      <c r="C28" s="4"/>
      <c r="D28" s="4"/>
      <c r="E28" s="4"/>
      <c r="F28" s="4"/>
      <c r="G28" s="4"/>
      <c r="H28" s="4"/>
    </row>
  </sheetData>
  <mergeCells count="4">
    <mergeCell ref="A1:D1"/>
    <mergeCell ref="A10:E10"/>
    <mergeCell ref="A19:C19"/>
    <mergeCell ref="A28:H28"/>
  </mergeCells>
  <pageMargins left="0.75" right="0.75" top="1" bottom="1" header="0.511811023622047" footer="0.511811023622047"/>
  <pageSetup fitToHeight="0" orientation="landscape" horizontalDpi="300" verticalDpi="300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pageSetUpPr fitToPage="1"/>
  </sheetPr>
  <dimension ref="A1:K77"/>
  <sheetViews>
    <sheetView zoomScaleNormal="100" workbookViewId="0"/>
  </sheetViews>
  <sheetFormatPr defaultColWidth="8.6328125" defaultRowHeight="14.5" x14ac:dyDescent="0.35"/>
  <cols>
    <col min="1" max="1" width="8" customWidth="1"/>
    <col min="2" max="2" width="12" customWidth="1"/>
    <col min="3" max="3" width="8" customWidth="1"/>
    <col min="4" max="5" width="18" customWidth="1"/>
    <col min="6" max="6" width="14" customWidth="1"/>
    <col min="7" max="8" width="10" customWidth="1"/>
    <col min="9" max="9" width="12" customWidth="1"/>
    <col min="10" max="10" width="16" customWidth="1"/>
    <col min="11" max="11" width="12" customWidth="1"/>
  </cols>
  <sheetData>
    <row r="1" spans="1:11" ht="15.5" x14ac:dyDescent="0.35">
      <c r="A1" s="3" t="s">
        <v>54</v>
      </c>
      <c r="B1" s="3"/>
      <c r="C1" s="3"/>
    </row>
    <row r="2" spans="1:11" ht="26" x14ac:dyDescent="0.35">
      <c r="A2" s="12" t="s">
        <v>55</v>
      </c>
      <c r="B2" s="12" t="s">
        <v>56</v>
      </c>
    </row>
    <row r="3" spans="1:11" x14ac:dyDescent="0.35">
      <c r="A3" s="17" t="s">
        <v>57</v>
      </c>
      <c r="B3" s="17">
        <v>180</v>
      </c>
    </row>
    <row r="4" spans="1:11" x14ac:dyDescent="0.35">
      <c r="A4" s="17" t="s">
        <v>58</v>
      </c>
      <c r="B4" s="17">
        <v>260</v>
      </c>
    </row>
    <row r="5" spans="1:11" x14ac:dyDescent="0.35">
      <c r="A5" s="17" t="s">
        <v>59</v>
      </c>
      <c r="B5" s="17">
        <v>150</v>
      </c>
    </row>
    <row r="6" spans="1:11" x14ac:dyDescent="0.35">
      <c r="A6" s="17" t="s">
        <v>60</v>
      </c>
      <c r="B6" s="17">
        <v>320</v>
      </c>
    </row>
    <row r="7" spans="1:11" x14ac:dyDescent="0.35">
      <c r="A7" s="17" t="s">
        <v>61</v>
      </c>
      <c r="B7" s="17">
        <v>400</v>
      </c>
    </row>
    <row r="8" spans="1:11" x14ac:dyDescent="0.35">
      <c r="A8" s="17" t="s">
        <v>62</v>
      </c>
      <c r="B8" s="17">
        <v>900</v>
      </c>
    </row>
    <row r="9" spans="1:11" x14ac:dyDescent="0.35">
      <c r="A9" s="17" t="s">
        <v>63</v>
      </c>
      <c r="B9" s="17">
        <v>950</v>
      </c>
    </row>
    <row r="10" spans="1:11" x14ac:dyDescent="0.35">
      <c r="A10" s="17" t="s">
        <v>64</v>
      </c>
      <c r="B10" s="17">
        <v>780</v>
      </c>
    </row>
    <row r="11" spans="1:11" x14ac:dyDescent="0.35">
      <c r="A11" s="17" t="s">
        <v>65</v>
      </c>
      <c r="B11" s="17">
        <v>650</v>
      </c>
    </row>
    <row r="12" spans="1:11" x14ac:dyDescent="0.35">
      <c r="A12" s="17" t="s">
        <v>66</v>
      </c>
      <c r="B12" s="17">
        <v>700</v>
      </c>
    </row>
    <row r="15" spans="1:11" ht="26" x14ac:dyDescent="0.35">
      <c r="A15" s="12" t="s">
        <v>67</v>
      </c>
      <c r="B15" s="12" t="s">
        <v>68</v>
      </c>
      <c r="C15" s="12" t="s">
        <v>69</v>
      </c>
      <c r="D15" s="12" t="s">
        <v>70</v>
      </c>
      <c r="E15" s="12" t="s">
        <v>0</v>
      </c>
      <c r="F15" s="12" t="s">
        <v>55</v>
      </c>
      <c r="G15" s="12" t="s">
        <v>46</v>
      </c>
      <c r="H15" s="12" t="s">
        <v>71</v>
      </c>
      <c r="I15" s="12" t="s">
        <v>56</v>
      </c>
      <c r="J15" s="12" t="s">
        <v>72</v>
      </c>
      <c r="K15" s="12" t="s">
        <v>73</v>
      </c>
    </row>
    <row r="16" spans="1:11" x14ac:dyDescent="0.35">
      <c r="A16" s="14">
        <v>1</v>
      </c>
      <c r="B16" s="14" t="s">
        <v>74</v>
      </c>
      <c r="C16" s="14" t="s">
        <v>75</v>
      </c>
      <c r="D16" s="14" t="s">
        <v>76</v>
      </c>
      <c r="E16" s="14" t="s">
        <v>77</v>
      </c>
      <c r="F16" s="14" t="s">
        <v>63</v>
      </c>
      <c r="G16" s="14" t="s">
        <v>78</v>
      </c>
      <c r="H16" s="14">
        <v>1</v>
      </c>
      <c r="I16" s="20">
        <f t="shared" ref="I16:I47" si="0">INDEX($B$3:$B$12,MATCH(F16,$A$3:$A$12,0))</f>
        <v>950</v>
      </c>
      <c r="J16" s="20">
        <f t="shared" ref="J16:J47" si="1">I16*2*H16</f>
        <v>1900</v>
      </c>
      <c r="K16" s="14">
        <v>2</v>
      </c>
    </row>
    <row r="17" spans="1:11" x14ac:dyDescent="0.35">
      <c r="A17" s="14">
        <v>2</v>
      </c>
      <c r="B17" s="14" t="s">
        <v>79</v>
      </c>
      <c r="C17" s="14" t="s">
        <v>75</v>
      </c>
      <c r="D17" s="14" t="s">
        <v>80</v>
      </c>
      <c r="E17" s="14" t="s">
        <v>81</v>
      </c>
      <c r="F17" s="14" t="s">
        <v>65</v>
      </c>
      <c r="G17" s="14" t="s">
        <v>78</v>
      </c>
      <c r="H17" s="14">
        <v>1</v>
      </c>
      <c r="I17" s="20">
        <f t="shared" si="0"/>
        <v>650</v>
      </c>
      <c r="J17" s="20">
        <f t="shared" si="1"/>
        <v>1300</v>
      </c>
      <c r="K17" s="14">
        <v>2</v>
      </c>
    </row>
    <row r="18" spans="1:11" x14ac:dyDescent="0.35">
      <c r="A18" s="14">
        <v>3</v>
      </c>
      <c r="B18" s="14" t="s">
        <v>82</v>
      </c>
      <c r="C18" s="14" t="s">
        <v>75</v>
      </c>
      <c r="D18" s="14" t="s">
        <v>83</v>
      </c>
      <c r="E18" s="14" t="s">
        <v>84</v>
      </c>
      <c r="F18" s="14" t="s">
        <v>66</v>
      </c>
      <c r="G18" s="14" t="s">
        <v>85</v>
      </c>
      <c r="H18" s="14">
        <v>1</v>
      </c>
      <c r="I18" s="20">
        <f t="shared" si="0"/>
        <v>700</v>
      </c>
      <c r="J18" s="20">
        <f t="shared" si="1"/>
        <v>1400</v>
      </c>
      <c r="K18" s="14">
        <v>1</v>
      </c>
    </row>
    <row r="19" spans="1:11" x14ac:dyDescent="0.35">
      <c r="A19" s="14">
        <v>4</v>
      </c>
      <c r="B19" s="14" t="s">
        <v>86</v>
      </c>
      <c r="C19" s="14" t="s">
        <v>75</v>
      </c>
      <c r="D19" s="14" t="s">
        <v>87</v>
      </c>
      <c r="E19" s="14" t="s">
        <v>81</v>
      </c>
      <c r="F19" s="14" t="s">
        <v>64</v>
      </c>
      <c r="G19" s="14" t="s">
        <v>78</v>
      </c>
      <c r="H19" s="14">
        <v>2</v>
      </c>
      <c r="I19" s="20">
        <f t="shared" si="0"/>
        <v>780</v>
      </c>
      <c r="J19" s="20">
        <f t="shared" si="1"/>
        <v>3120</v>
      </c>
      <c r="K19" s="14">
        <v>1</v>
      </c>
    </row>
    <row r="20" spans="1:11" x14ac:dyDescent="0.35">
      <c r="A20" s="14">
        <v>5</v>
      </c>
      <c r="B20" s="14" t="s">
        <v>88</v>
      </c>
      <c r="C20" s="14" t="s">
        <v>75</v>
      </c>
      <c r="D20" s="14" t="s">
        <v>87</v>
      </c>
      <c r="E20" s="14" t="s">
        <v>89</v>
      </c>
      <c r="F20" s="14" t="s">
        <v>59</v>
      </c>
      <c r="G20" s="14" t="s">
        <v>85</v>
      </c>
      <c r="H20" s="14">
        <v>1</v>
      </c>
      <c r="I20" s="20">
        <f t="shared" si="0"/>
        <v>150</v>
      </c>
      <c r="J20" s="20">
        <f t="shared" si="1"/>
        <v>300</v>
      </c>
      <c r="K20" s="14">
        <v>0</v>
      </c>
    </row>
    <row r="21" spans="1:11" x14ac:dyDescent="0.35">
      <c r="A21" s="14">
        <v>6</v>
      </c>
      <c r="B21" s="14" t="s">
        <v>90</v>
      </c>
      <c r="C21" s="14" t="s">
        <v>91</v>
      </c>
      <c r="D21" s="14" t="s">
        <v>87</v>
      </c>
      <c r="E21" s="14" t="s">
        <v>84</v>
      </c>
      <c r="F21" s="14" t="s">
        <v>66</v>
      </c>
      <c r="G21" s="14" t="s">
        <v>78</v>
      </c>
      <c r="H21" s="14">
        <v>2</v>
      </c>
      <c r="I21" s="20">
        <f t="shared" si="0"/>
        <v>700</v>
      </c>
      <c r="J21" s="20">
        <f t="shared" si="1"/>
        <v>2800</v>
      </c>
      <c r="K21" s="14">
        <v>3</v>
      </c>
    </row>
    <row r="22" spans="1:11" x14ac:dyDescent="0.35">
      <c r="A22" s="14">
        <v>7</v>
      </c>
      <c r="B22" s="14" t="s">
        <v>92</v>
      </c>
      <c r="C22" s="14" t="s">
        <v>91</v>
      </c>
      <c r="D22" s="14" t="s">
        <v>80</v>
      </c>
      <c r="E22" s="14" t="s">
        <v>93</v>
      </c>
      <c r="F22" s="14" t="s">
        <v>62</v>
      </c>
      <c r="G22" s="14" t="s">
        <v>85</v>
      </c>
      <c r="H22" s="14">
        <v>1</v>
      </c>
      <c r="I22" s="20">
        <f t="shared" si="0"/>
        <v>900</v>
      </c>
      <c r="J22" s="20">
        <f t="shared" si="1"/>
        <v>1800</v>
      </c>
      <c r="K22" s="14">
        <v>2</v>
      </c>
    </row>
    <row r="23" spans="1:11" x14ac:dyDescent="0.35">
      <c r="A23" s="14">
        <v>8</v>
      </c>
      <c r="B23" s="14" t="s">
        <v>94</v>
      </c>
      <c r="C23" s="14" t="s">
        <v>91</v>
      </c>
      <c r="D23" s="14" t="s">
        <v>83</v>
      </c>
      <c r="E23" s="14" t="s">
        <v>81</v>
      </c>
      <c r="F23" s="14" t="s">
        <v>63</v>
      </c>
      <c r="G23" s="14" t="s">
        <v>78</v>
      </c>
      <c r="H23" s="14">
        <v>2</v>
      </c>
      <c r="I23" s="20">
        <f t="shared" si="0"/>
        <v>950</v>
      </c>
      <c r="J23" s="20">
        <f t="shared" si="1"/>
        <v>3800</v>
      </c>
      <c r="K23" s="14">
        <v>2</v>
      </c>
    </row>
    <row r="24" spans="1:11" x14ac:dyDescent="0.35">
      <c r="A24" s="14">
        <v>9</v>
      </c>
      <c r="B24" s="14" t="s">
        <v>95</v>
      </c>
      <c r="C24" s="14" t="s">
        <v>91</v>
      </c>
      <c r="D24" s="14" t="s">
        <v>87</v>
      </c>
      <c r="E24" s="14" t="s">
        <v>89</v>
      </c>
      <c r="F24" s="14" t="s">
        <v>64</v>
      </c>
      <c r="G24" s="14" t="s">
        <v>78</v>
      </c>
      <c r="H24" s="14">
        <v>1</v>
      </c>
      <c r="I24" s="20">
        <f t="shared" si="0"/>
        <v>780</v>
      </c>
      <c r="J24" s="20">
        <f t="shared" si="1"/>
        <v>1560</v>
      </c>
      <c r="K24" s="14">
        <v>1</v>
      </c>
    </row>
    <row r="25" spans="1:11" x14ac:dyDescent="0.35">
      <c r="A25" s="14">
        <v>10</v>
      </c>
      <c r="B25" s="14" t="s">
        <v>96</v>
      </c>
      <c r="C25" s="14" t="s">
        <v>97</v>
      </c>
      <c r="D25" s="14" t="s">
        <v>76</v>
      </c>
      <c r="E25" s="14" t="s">
        <v>93</v>
      </c>
      <c r="F25" s="14" t="s">
        <v>65</v>
      </c>
      <c r="G25" s="14" t="s">
        <v>78</v>
      </c>
      <c r="H25" s="14">
        <v>3</v>
      </c>
      <c r="I25" s="20">
        <f t="shared" si="0"/>
        <v>650</v>
      </c>
      <c r="J25" s="20">
        <f t="shared" si="1"/>
        <v>3900</v>
      </c>
      <c r="K25" s="14">
        <v>1</v>
      </c>
    </row>
    <row r="26" spans="1:11" x14ac:dyDescent="0.35">
      <c r="A26" s="14">
        <v>11</v>
      </c>
      <c r="B26" s="14" t="s">
        <v>98</v>
      </c>
      <c r="C26" s="14" t="s">
        <v>97</v>
      </c>
      <c r="D26" s="14" t="s">
        <v>87</v>
      </c>
      <c r="E26" s="14" t="s">
        <v>81</v>
      </c>
      <c r="F26" s="14" t="s">
        <v>59</v>
      </c>
      <c r="G26" s="14" t="s">
        <v>99</v>
      </c>
      <c r="H26" s="14">
        <v>1</v>
      </c>
      <c r="I26" s="20">
        <f t="shared" si="0"/>
        <v>150</v>
      </c>
      <c r="J26" s="20">
        <f t="shared" si="1"/>
        <v>300</v>
      </c>
      <c r="K26" s="14">
        <v>0</v>
      </c>
    </row>
    <row r="27" spans="1:11" x14ac:dyDescent="0.35">
      <c r="A27" s="14">
        <v>12</v>
      </c>
      <c r="B27" s="14" t="s">
        <v>100</v>
      </c>
      <c r="C27" s="14" t="s">
        <v>97</v>
      </c>
      <c r="D27" s="14" t="s">
        <v>83</v>
      </c>
      <c r="E27" s="14" t="s">
        <v>81</v>
      </c>
      <c r="F27" s="14" t="s">
        <v>65</v>
      </c>
      <c r="G27" s="14" t="s">
        <v>78</v>
      </c>
      <c r="H27" s="14">
        <v>2</v>
      </c>
      <c r="I27" s="20">
        <f t="shared" si="0"/>
        <v>650</v>
      </c>
      <c r="J27" s="20">
        <f t="shared" si="1"/>
        <v>2600</v>
      </c>
      <c r="K27" s="14">
        <v>2</v>
      </c>
    </row>
    <row r="28" spans="1:11" x14ac:dyDescent="0.35">
      <c r="A28" s="14">
        <v>13</v>
      </c>
      <c r="B28" s="14" t="s">
        <v>101</v>
      </c>
      <c r="C28" s="14" t="s">
        <v>97</v>
      </c>
      <c r="D28" s="14" t="s">
        <v>80</v>
      </c>
      <c r="E28" s="14" t="s">
        <v>93</v>
      </c>
      <c r="F28" s="14" t="s">
        <v>65</v>
      </c>
      <c r="G28" s="14" t="s">
        <v>78</v>
      </c>
      <c r="H28" s="14">
        <v>1</v>
      </c>
      <c r="I28" s="20">
        <f t="shared" si="0"/>
        <v>650</v>
      </c>
      <c r="J28" s="20">
        <f t="shared" si="1"/>
        <v>1300</v>
      </c>
      <c r="K28" s="14">
        <v>2</v>
      </c>
    </row>
    <row r="29" spans="1:11" x14ac:dyDescent="0.35">
      <c r="A29" s="14">
        <v>14</v>
      </c>
      <c r="B29" s="14" t="s">
        <v>102</v>
      </c>
      <c r="C29" s="14" t="s">
        <v>97</v>
      </c>
      <c r="D29" s="14" t="s">
        <v>103</v>
      </c>
      <c r="E29" s="14" t="s">
        <v>93</v>
      </c>
      <c r="F29" s="14" t="s">
        <v>65</v>
      </c>
      <c r="G29" s="14" t="s">
        <v>78</v>
      </c>
      <c r="H29" s="14">
        <v>3</v>
      </c>
      <c r="I29" s="20">
        <f t="shared" si="0"/>
        <v>650</v>
      </c>
      <c r="J29" s="20">
        <f t="shared" si="1"/>
        <v>3900</v>
      </c>
      <c r="K29" s="14">
        <v>1</v>
      </c>
    </row>
    <row r="30" spans="1:11" x14ac:dyDescent="0.35">
      <c r="A30" s="14">
        <v>15</v>
      </c>
      <c r="B30" s="14" t="s">
        <v>104</v>
      </c>
      <c r="C30" s="14" t="s">
        <v>97</v>
      </c>
      <c r="D30" s="14" t="s">
        <v>80</v>
      </c>
      <c r="E30" s="14" t="s">
        <v>77</v>
      </c>
      <c r="F30" s="14" t="s">
        <v>57</v>
      </c>
      <c r="G30" s="14" t="s">
        <v>78</v>
      </c>
      <c r="H30" s="14">
        <v>2</v>
      </c>
      <c r="I30" s="20">
        <f t="shared" si="0"/>
        <v>180</v>
      </c>
      <c r="J30" s="20">
        <f t="shared" si="1"/>
        <v>720</v>
      </c>
      <c r="K30" s="14">
        <v>2</v>
      </c>
    </row>
    <row r="31" spans="1:11" x14ac:dyDescent="0.35">
      <c r="A31" s="14">
        <v>16</v>
      </c>
      <c r="B31" s="14" t="s">
        <v>105</v>
      </c>
      <c r="C31" s="14" t="s">
        <v>106</v>
      </c>
      <c r="D31" s="14" t="s">
        <v>80</v>
      </c>
      <c r="E31" s="14" t="s">
        <v>84</v>
      </c>
      <c r="F31" s="14" t="s">
        <v>65</v>
      </c>
      <c r="G31" s="14" t="s">
        <v>85</v>
      </c>
      <c r="H31" s="14">
        <v>1</v>
      </c>
      <c r="I31" s="20">
        <f t="shared" si="0"/>
        <v>650</v>
      </c>
      <c r="J31" s="20">
        <f t="shared" si="1"/>
        <v>1300</v>
      </c>
      <c r="K31" s="14">
        <v>1</v>
      </c>
    </row>
    <row r="32" spans="1:11" x14ac:dyDescent="0.35">
      <c r="A32" s="14">
        <v>17</v>
      </c>
      <c r="B32" s="14" t="s">
        <v>107</v>
      </c>
      <c r="C32" s="14" t="s">
        <v>106</v>
      </c>
      <c r="D32" s="14" t="s">
        <v>83</v>
      </c>
      <c r="E32" s="14" t="s">
        <v>93</v>
      </c>
      <c r="F32" s="14" t="s">
        <v>57</v>
      </c>
      <c r="G32" s="14" t="s">
        <v>99</v>
      </c>
      <c r="H32" s="14">
        <v>1</v>
      </c>
      <c r="I32" s="20">
        <f t="shared" si="0"/>
        <v>180</v>
      </c>
      <c r="J32" s="20">
        <f t="shared" si="1"/>
        <v>360</v>
      </c>
      <c r="K32" s="14">
        <v>0</v>
      </c>
    </row>
    <row r="33" spans="1:11" x14ac:dyDescent="0.35">
      <c r="A33" s="14">
        <v>18</v>
      </c>
      <c r="B33" s="14" t="s">
        <v>108</v>
      </c>
      <c r="C33" s="14" t="s">
        <v>106</v>
      </c>
      <c r="D33" s="14" t="s">
        <v>80</v>
      </c>
      <c r="E33" s="14" t="s">
        <v>89</v>
      </c>
      <c r="F33" s="14" t="s">
        <v>62</v>
      </c>
      <c r="G33" s="14" t="s">
        <v>85</v>
      </c>
      <c r="H33" s="14">
        <v>2</v>
      </c>
      <c r="I33" s="20">
        <f t="shared" si="0"/>
        <v>900</v>
      </c>
      <c r="J33" s="20">
        <f t="shared" si="1"/>
        <v>3600</v>
      </c>
      <c r="K33" s="14">
        <v>2</v>
      </c>
    </row>
    <row r="34" spans="1:11" x14ac:dyDescent="0.35">
      <c r="A34" s="14">
        <v>19</v>
      </c>
      <c r="B34" s="14" t="s">
        <v>109</v>
      </c>
      <c r="C34" s="14" t="s">
        <v>106</v>
      </c>
      <c r="D34" s="14" t="s">
        <v>80</v>
      </c>
      <c r="E34" s="14" t="s">
        <v>89</v>
      </c>
      <c r="F34" s="14" t="s">
        <v>58</v>
      </c>
      <c r="G34" s="14" t="s">
        <v>85</v>
      </c>
      <c r="H34" s="14">
        <v>1</v>
      </c>
      <c r="I34" s="20">
        <f t="shared" si="0"/>
        <v>260</v>
      </c>
      <c r="J34" s="20">
        <f t="shared" si="1"/>
        <v>520</v>
      </c>
      <c r="K34" s="14">
        <v>0</v>
      </c>
    </row>
    <row r="35" spans="1:11" x14ac:dyDescent="0.35">
      <c r="A35" s="14">
        <v>20</v>
      </c>
      <c r="B35" s="14" t="s">
        <v>109</v>
      </c>
      <c r="C35" s="14" t="s">
        <v>106</v>
      </c>
      <c r="D35" s="14" t="s">
        <v>76</v>
      </c>
      <c r="E35" s="14" t="s">
        <v>77</v>
      </c>
      <c r="F35" s="14" t="s">
        <v>59</v>
      </c>
      <c r="G35" s="14" t="s">
        <v>99</v>
      </c>
      <c r="H35" s="14">
        <v>2</v>
      </c>
      <c r="I35" s="20">
        <f t="shared" si="0"/>
        <v>150</v>
      </c>
      <c r="J35" s="20">
        <f t="shared" si="1"/>
        <v>600</v>
      </c>
      <c r="K35" s="14">
        <v>1</v>
      </c>
    </row>
    <row r="36" spans="1:11" x14ac:dyDescent="0.35">
      <c r="A36" s="14">
        <v>21</v>
      </c>
      <c r="B36" s="14" t="s">
        <v>110</v>
      </c>
      <c r="C36" s="14" t="s">
        <v>111</v>
      </c>
      <c r="D36" s="14" t="s">
        <v>83</v>
      </c>
      <c r="E36" s="14" t="s">
        <v>77</v>
      </c>
      <c r="F36" s="14" t="s">
        <v>60</v>
      </c>
      <c r="G36" s="14" t="s">
        <v>85</v>
      </c>
      <c r="H36" s="14">
        <v>2</v>
      </c>
      <c r="I36" s="20">
        <f t="shared" si="0"/>
        <v>320</v>
      </c>
      <c r="J36" s="20">
        <f t="shared" si="1"/>
        <v>1280</v>
      </c>
      <c r="K36" s="14">
        <v>2</v>
      </c>
    </row>
    <row r="37" spans="1:11" x14ac:dyDescent="0.35">
      <c r="A37" s="14">
        <v>22</v>
      </c>
      <c r="B37" s="14" t="s">
        <v>112</v>
      </c>
      <c r="C37" s="14" t="s">
        <v>111</v>
      </c>
      <c r="D37" s="14" t="s">
        <v>80</v>
      </c>
      <c r="E37" s="14" t="s">
        <v>89</v>
      </c>
      <c r="F37" s="14" t="s">
        <v>60</v>
      </c>
      <c r="G37" s="14" t="s">
        <v>85</v>
      </c>
      <c r="H37" s="14">
        <v>3</v>
      </c>
      <c r="I37" s="20">
        <f t="shared" si="0"/>
        <v>320</v>
      </c>
      <c r="J37" s="20">
        <f t="shared" si="1"/>
        <v>1920</v>
      </c>
      <c r="K37" s="14">
        <v>2</v>
      </c>
    </row>
    <row r="38" spans="1:11" x14ac:dyDescent="0.35">
      <c r="A38" s="14">
        <v>23</v>
      </c>
      <c r="B38" s="14" t="s">
        <v>113</v>
      </c>
      <c r="C38" s="14" t="s">
        <v>111</v>
      </c>
      <c r="D38" s="14" t="s">
        <v>76</v>
      </c>
      <c r="E38" s="14" t="s">
        <v>93</v>
      </c>
      <c r="F38" s="14" t="s">
        <v>57</v>
      </c>
      <c r="G38" s="14" t="s">
        <v>99</v>
      </c>
      <c r="H38" s="14">
        <v>1</v>
      </c>
      <c r="I38" s="20">
        <f t="shared" si="0"/>
        <v>180</v>
      </c>
      <c r="J38" s="20">
        <f t="shared" si="1"/>
        <v>360</v>
      </c>
      <c r="K38" s="14">
        <v>0</v>
      </c>
    </row>
    <row r="39" spans="1:11" x14ac:dyDescent="0.35">
      <c r="A39" s="14">
        <v>24</v>
      </c>
      <c r="B39" s="14" t="s">
        <v>114</v>
      </c>
      <c r="C39" s="14" t="s">
        <v>111</v>
      </c>
      <c r="D39" s="14" t="s">
        <v>83</v>
      </c>
      <c r="E39" s="14" t="s">
        <v>81</v>
      </c>
      <c r="F39" s="14" t="s">
        <v>65</v>
      </c>
      <c r="G39" s="14" t="s">
        <v>78</v>
      </c>
      <c r="H39" s="14">
        <v>3</v>
      </c>
      <c r="I39" s="20">
        <f t="shared" si="0"/>
        <v>650</v>
      </c>
      <c r="J39" s="20">
        <f t="shared" si="1"/>
        <v>3900</v>
      </c>
      <c r="K39" s="14">
        <v>2</v>
      </c>
    </row>
    <row r="40" spans="1:11" x14ac:dyDescent="0.35">
      <c r="A40" s="14">
        <v>25</v>
      </c>
      <c r="B40" s="14" t="s">
        <v>113</v>
      </c>
      <c r="C40" s="14" t="s">
        <v>111</v>
      </c>
      <c r="D40" s="14" t="s">
        <v>83</v>
      </c>
      <c r="E40" s="14" t="s">
        <v>84</v>
      </c>
      <c r="F40" s="14" t="s">
        <v>61</v>
      </c>
      <c r="G40" s="14" t="s">
        <v>85</v>
      </c>
      <c r="H40" s="14">
        <v>3</v>
      </c>
      <c r="I40" s="20">
        <f t="shared" si="0"/>
        <v>400</v>
      </c>
      <c r="J40" s="20">
        <f t="shared" si="1"/>
        <v>2400</v>
      </c>
      <c r="K40" s="14">
        <v>1</v>
      </c>
    </row>
    <row r="41" spans="1:11" x14ac:dyDescent="0.35">
      <c r="A41" s="14">
        <v>26</v>
      </c>
      <c r="B41" s="14" t="s">
        <v>115</v>
      </c>
      <c r="C41" s="14" t="s">
        <v>111</v>
      </c>
      <c r="D41" s="14" t="s">
        <v>87</v>
      </c>
      <c r="E41" s="14" t="s">
        <v>81</v>
      </c>
      <c r="F41" s="14" t="s">
        <v>63</v>
      </c>
      <c r="G41" s="14" t="s">
        <v>78</v>
      </c>
      <c r="H41" s="14">
        <v>2</v>
      </c>
      <c r="I41" s="20">
        <f t="shared" si="0"/>
        <v>950</v>
      </c>
      <c r="J41" s="20">
        <f t="shared" si="1"/>
        <v>3800</v>
      </c>
      <c r="K41" s="14">
        <v>3</v>
      </c>
    </row>
    <row r="42" spans="1:11" x14ac:dyDescent="0.35">
      <c r="A42" s="14">
        <v>27</v>
      </c>
      <c r="B42" s="14" t="s">
        <v>116</v>
      </c>
      <c r="C42" s="14" t="s">
        <v>117</v>
      </c>
      <c r="D42" s="14" t="s">
        <v>83</v>
      </c>
      <c r="E42" s="14" t="s">
        <v>84</v>
      </c>
      <c r="F42" s="14" t="s">
        <v>63</v>
      </c>
      <c r="G42" s="14" t="s">
        <v>85</v>
      </c>
      <c r="H42" s="14">
        <v>1</v>
      </c>
      <c r="I42" s="20">
        <f t="shared" si="0"/>
        <v>950</v>
      </c>
      <c r="J42" s="20">
        <f t="shared" si="1"/>
        <v>1900</v>
      </c>
      <c r="K42" s="14">
        <v>2</v>
      </c>
    </row>
    <row r="43" spans="1:11" x14ac:dyDescent="0.35">
      <c r="A43" s="14">
        <v>28</v>
      </c>
      <c r="B43" s="14" t="s">
        <v>118</v>
      </c>
      <c r="C43" s="14" t="s">
        <v>117</v>
      </c>
      <c r="D43" s="14" t="s">
        <v>76</v>
      </c>
      <c r="E43" s="14" t="s">
        <v>77</v>
      </c>
      <c r="F43" s="14" t="s">
        <v>65</v>
      </c>
      <c r="G43" s="14" t="s">
        <v>78</v>
      </c>
      <c r="H43" s="14">
        <v>3</v>
      </c>
      <c r="I43" s="20">
        <f t="shared" si="0"/>
        <v>650</v>
      </c>
      <c r="J43" s="20">
        <f t="shared" si="1"/>
        <v>3900</v>
      </c>
      <c r="K43" s="14">
        <v>1</v>
      </c>
    </row>
    <row r="44" spans="1:11" x14ac:dyDescent="0.35">
      <c r="A44" s="14">
        <v>29</v>
      </c>
      <c r="B44" s="14" t="s">
        <v>119</v>
      </c>
      <c r="C44" s="14" t="s">
        <v>117</v>
      </c>
      <c r="D44" s="14" t="s">
        <v>83</v>
      </c>
      <c r="E44" s="14" t="s">
        <v>93</v>
      </c>
      <c r="F44" s="14" t="s">
        <v>58</v>
      </c>
      <c r="G44" s="14" t="s">
        <v>99</v>
      </c>
      <c r="H44" s="14">
        <v>3</v>
      </c>
      <c r="I44" s="20">
        <f t="shared" si="0"/>
        <v>260</v>
      </c>
      <c r="J44" s="20">
        <f t="shared" si="1"/>
        <v>1560</v>
      </c>
      <c r="K44" s="14">
        <v>0</v>
      </c>
    </row>
    <row r="45" spans="1:11" x14ac:dyDescent="0.35">
      <c r="A45" s="14">
        <v>30</v>
      </c>
      <c r="B45" s="14" t="s">
        <v>120</v>
      </c>
      <c r="C45" s="14" t="s">
        <v>117</v>
      </c>
      <c r="D45" s="14" t="s">
        <v>87</v>
      </c>
      <c r="E45" s="14" t="s">
        <v>89</v>
      </c>
      <c r="F45" s="14" t="s">
        <v>65</v>
      </c>
      <c r="G45" s="14" t="s">
        <v>78</v>
      </c>
      <c r="H45" s="14">
        <v>1</v>
      </c>
      <c r="I45" s="20">
        <f t="shared" si="0"/>
        <v>650</v>
      </c>
      <c r="J45" s="20">
        <f t="shared" si="1"/>
        <v>1300</v>
      </c>
      <c r="K45" s="14">
        <v>2</v>
      </c>
    </row>
    <row r="46" spans="1:11" x14ac:dyDescent="0.35">
      <c r="A46" s="14">
        <v>31</v>
      </c>
      <c r="B46" s="14" t="s">
        <v>121</v>
      </c>
      <c r="C46" s="14" t="s">
        <v>117</v>
      </c>
      <c r="D46" s="14" t="s">
        <v>87</v>
      </c>
      <c r="E46" s="14" t="s">
        <v>84</v>
      </c>
      <c r="F46" s="14" t="s">
        <v>60</v>
      </c>
      <c r="G46" s="14" t="s">
        <v>85</v>
      </c>
      <c r="H46" s="14">
        <v>3</v>
      </c>
      <c r="I46" s="20">
        <f t="shared" si="0"/>
        <v>320</v>
      </c>
      <c r="J46" s="20">
        <f t="shared" si="1"/>
        <v>1920</v>
      </c>
      <c r="K46" s="14">
        <v>1</v>
      </c>
    </row>
    <row r="47" spans="1:11" x14ac:dyDescent="0.35">
      <c r="A47" s="14">
        <v>32</v>
      </c>
      <c r="B47" s="14" t="s">
        <v>122</v>
      </c>
      <c r="C47" s="14" t="s">
        <v>117</v>
      </c>
      <c r="D47" s="14" t="s">
        <v>80</v>
      </c>
      <c r="E47" s="14" t="s">
        <v>77</v>
      </c>
      <c r="F47" s="14" t="s">
        <v>61</v>
      </c>
      <c r="G47" s="14" t="s">
        <v>85</v>
      </c>
      <c r="H47" s="14">
        <v>2</v>
      </c>
      <c r="I47" s="20">
        <f t="shared" si="0"/>
        <v>400</v>
      </c>
      <c r="J47" s="20">
        <f t="shared" si="1"/>
        <v>1600</v>
      </c>
      <c r="K47" s="14">
        <v>2</v>
      </c>
    </row>
    <row r="48" spans="1:11" x14ac:dyDescent="0.35">
      <c r="A48" s="14">
        <v>33</v>
      </c>
      <c r="B48" s="14" t="s">
        <v>123</v>
      </c>
      <c r="C48" s="14" t="s">
        <v>117</v>
      </c>
      <c r="D48" s="14" t="s">
        <v>80</v>
      </c>
      <c r="E48" s="14" t="s">
        <v>84</v>
      </c>
      <c r="F48" s="14" t="s">
        <v>66</v>
      </c>
      <c r="G48" s="14" t="s">
        <v>78</v>
      </c>
      <c r="H48" s="14">
        <v>1</v>
      </c>
      <c r="I48" s="20">
        <f t="shared" ref="I48:I75" si="2">INDEX($B$3:$B$12,MATCH(F48,$A$3:$A$12,0))</f>
        <v>700</v>
      </c>
      <c r="J48" s="20">
        <f t="shared" ref="J48:J79" si="3">I48*2*H48</f>
        <v>1400</v>
      </c>
      <c r="K48" s="14">
        <v>2</v>
      </c>
    </row>
    <row r="49" spans="1:11" x14ac:dyDescent="0.35">
      <c r="A49" s="14">
        <v>34</v>
      </c>
      <c r="B49" s="14" t="s">
        <v>124</v>
      </c>
      <c r="C49" s="14" t="s">
        <v>125</v>
      </c>
      <c r="D49" s="14" t="s">
        <v>83</v>
      </c>
      <c r="E49" s="14" t="s">
        <v>93</v>
      </c>
      <c r="F49" s="14" t="s">
        <v>64</v>
      </c>
      <c r="G49" s="14" t="s">
        <v>85</v>
      </c>
      <c r="H49" s="14">
        <v>3</v>
      </c>
      <c r="I49" s="20">
        <f t="shared" si="2"/>
        <v>780</v>
      </c>
      <c r="J49" s="20">
        <f t="shared" si="3"/>
        <v>4680</v>
      </c>
      <c r="K49" s="14">
        <v>1</v>
      </c>
    </row>
    <row r="50" spans="1:11" x14ac:dyDescent="0.35">
      <c r="A50" s="14">
        <v>35</v>
      </c>
      <c r="B50" s="14" t="s">
        <v>126</v>
      </c>
      <c r="C50" s="14" t="s">
        <v>125</v>
      </c>
      <c r="D50" s="14" t="s">
        <v>76</v>
      </c>
      <c r="E50" s="14" t="s">
        <v>89</v>
      </c>
      <c r="F50" s="14" t="s">
        <v>65</v>
      </c>
      <c r="G50" s="14" t="s">
        <v>78</v>
      </c>
      <c r="H50" s="14">
        <v>2</v>
      </c>
      <c r="I50" s="20">
        <f t="shared" si="2"/>
        <v>650</v>
      </c>
      <c r="J50" s="20">
        <f t="shared" si="3"/>
        <v>2600</v>
      </c>
      <c r="K50" s="14">
        <v>1</v>
      </c>
    </row>
    <row r="51" spans="1:11" x14ac:dyDescent="0.35">
      <c r="A51" s="14">
        <v>36</v>
      </c>
      <c r="B51" s="14" t="s">
        <v>127</v>
      </c>
      <c r="C51" s="14" t="s">
        <v>128</v>
      </c>
      <c r="D51" s="14" t="s">
        <v>83</v>
      </c>
      <c r="E51" s="14" t="s">
        <v>77</v>
      </c>
      <c r="F51" s="14" t="s">
        <v>60</v>
      </c>
      <c r="G51" s="14" t="s">
        <v>85</v>
      </c>
      <c r="H51" s="14">
        <v>1</v>
      </c>
      <c r="I51" s="20">
        <f t="shared" si="2"/>
        <v>320</v>
      </c>
      <c r="J51" s="20">
        <f t="shared" si="3"/>
        <v>640</v>
      </c>
      <c r="K51" s="14">
        <v>3</v>
      </c>
    </row>
    <row r="52" spans="1:11" x14ac:dyDescent="0.35">
      <c r="A52" s="14">
        <v>37</v>
      </c>
      <c r="B52" s="14" t="s">
        <v>129</v>
      </c>
      <c r="C52" s="14" t="s">
        <v>128</v>
      </c>
      <c r="D52" s="14" t="s">
        <v>103</v>
      </c>
      <c r="E52" s="14" t="s">
        <v>77</v>
      </c>
      <c r="F52" s="14" t="s">
        <v>63</v>
      </c>
      <c r="G52" s="14" t="s">
        <v>85</v>
      </c>
      <c r="H52" s="14">
        <v>1</v>
      </c>
      <c r="I52" s="20">
        <f t="shared" si="2"/>
        <v>950</v>
      </c>
      <c r="J52" s="20">
        <f t="shared" si="3"/>
        <v>1900</v>
      </c>
      <c r="K52" s="14">
        <v>2</v>
      </c>
    </row>
    <row r="53" spans="1:11" x14ac:dyDescent="0.35">
      <c r="A53" s="14">
        <v>38</v>
      </c>
      <c r="B53" s="14" t="s">
        <v>130</v>
      </c>
      <c r="C53" s="14" t="s">
        <v>131</v>
      </c>
      <c r="D53" s="14" t="s">
        <v>103</v>
      </c>
      <c r="E53" s="14" t="s">
        <v>89</v>
      </c>
      <c r="F53" s="14" t="s">
        <v>60</v>
      </c>
      <c r="G53" s="14" t="s">
        <v>85</v>
      </c>
      <c r="H53" s="14">
        <v>2</v>
      </c>
      <c r="I53" s="20">
        <f t="shared" si="2"/>
        <v>320</v>
      </c>
      <c r="J53" s="20">
        <f t="shared" si="3"/>
        <v>1280</v>
      </c>
      <c r="K53" s="14">
        <v>1</v>
      </c>
    </row>
    <row r="54" spans="1:11" x14ac:dyDescent="0.35">
      <c r="A54" s="14">
        <v>39</v>
      </c>
      <c r="B54" s="14" t="s">
        <v>132</v>
      </c>
      <c r="C54" s="14" t="s">
        <v>131</v>
      </c>
      <c r="D54" s="14" t="s">
        <v>80</v>
      </c>
      <c r="E54" s="14" t="s">
        <v>81</v>
      </c>
      <c r="F54" s="14" t="s">
        <v>59</v>
      </c>
      <c r="G54" s="14" t="s">
        <v>99</v>
      </c>
      <c r="H54" s="14">
        <v>2</v>
      </c>
      <c r="I54" s="20">
        <f t="shared" si="2"/>
        <v>150</v>
      </c>
      <c r="J54" s="20">
        <f t="shared" si="3"/>
        <v>600</v>
      </c>
      <c r="K54" s="14">
        <v>1</v>
      </c>
    </row>
    <row r="55" spans="1:11" x14ac:dyDescent="0.35">
      <c r="A55" s="14">
        <v>40</v>
      </c>
      <c r="B55" s="14" t="s">
        <v>133</v>
      </c>
      <c r="C55" s="14" t="s">
        <v>131</v>
      </c>
      <c r="D55" s="14" t="s">
        <v>87</v>
      </c>
      <c r="E55" s="14" t="s">
        <v>93</v>
      </c>
      <c r="F55" s="14" t="s">
        <v>64</v>
      </c>
      <c r="G55" s="14" t="s">
        <v>78</v>
      </c>
      <c r="H55" s="14">
        <v>1</v>
      </c>
      <c r="I55" s="20">
        <f t="shared" si="2"/>
        <v>780</v>
      </c>
      <c r="J55" s="20">
        <f t="shared" si="3"/>
        <v>1560</v>
      </c>
      <c r="K55" s="14">
        <v>3</v>
      </c>
    </row>
    <row r="56" spans="1:11" x14ac:dyDescent="0.35">
      <c r="A56" s="14">
        <v>41</v>
      </c>
      <c r="B56" s="14" t="s">
        <v>133</v>
      </c>
      <c r="C56" s="14" t="s">
        <v>131</v>
      </c>
      <c r="D56" s="14" t="s">
        <v>87</v>
      </c>
      <c r="E56" s="14" t="s">
        <v>77</v>
      </c>
      <c r="F56" s="14" t="s">
        <v>64</v>
      </c>
      <c r="G56" s="14" t="s">
        <v>78</v>
      </c>
      <c r="H56" s="14">
        <v>2</v>
      </c>
      <c r="I56" s="20">
        <f t="shared" si="2"/>
        <v>780</v>
      </c>
      <c r="J56" s="20">
        <f t="shared" si="3"/>
        <v>3120</v>
      </c>
      <c r="K56" s="14">
        <v>2</v>
      </c>
    </row>
    <row r="57" spans="1:11" x14ac:dyDescent="0.35">
      <c r="A57" s="14">
        <v>42</v>
      </c>
      <c r="B57" s="14" t="s">
        <v>134</v>
      </c>
      <c r="C57" s="14" t="s">
        <v>131</v>
      </c>
      <c r="D57" s="14" t="s">
        <v>76</v>
      </c>
      <c r="E57" s="14" t="s">
        <v>84</v>
      </c>
      <c r="F57" s="14" t="s">
        <v>59</v>
      </c>
      <c r="G57" s="14" t="s">
        <v>99</v>
      </c>
      <c r="H57" s="14">
        <v>1</v>
      </c>
      <c r="I57" s="20">
        <f t="shared" si="2"/>
        <v>150</v>
      </c>
      <c r="J57" s="20">
        <f t="shared" si="3"/>
        <v>300</v>
      </c>
      <c r="K57" s="14">
        <v>0</v>
      </c>
    </row>
    <row r="58" spans="1:11" x14ac:dyDescent="0.35">
      <c r="A58" s="14">
        <v>43</v>
      </c>
      <c r="B58" s="14" t="s">
        <v>135</v>
      </c>
      <c r="C58" s="14" t="s">
        <v>131</v>
      </c>
      <c r="D58" s="14" t="s">
        <v>80</v>
      </c>
      <c r="E58" s="14" t="s">
        <v>93</v>
      </c>
      <c r="F58" s="14" t="s">
        <v>64</v>
      </c>
      <c r="G58" s="14" t="s">
        <v>78</v>
      </c>
      <c r="H58" s="14">
        <v>1</v>
      </c>
      <c r="I58" s="20">
        <f t="shared" si="2"/>
        <v>780</v>
      </c>
      <c r="J58" s="20">
        <f t="shared" si="3"/>
        <v>1560</v>
      </c>
      <c r="K58" s="14">
        <v>2</v>
      </c>
    </row>
    <row r="59" spans="1:11" x14ac:dyDescent="0.35">
      <c r="A59" s="14">
        <v>44</v>
      </c>
      <c r="B59" s="14" t="s">
        <v>136</v>
      </c>
      <c r="C59" s="14" t="s">
        <v>137</v>
      </c>
      <c r="D59" s="14" t="s">
        <v>80</v>
      </c>
      <c r="E59" s="14" t="s">
        <v>77</v>
      </c>
      <c r="F59" s="14" t="s">
        <v>62</v>
      </c>
      <c r="G59" s="14" t="s">
        <v>78</v>
      </c>
      <c r="H59" s="14">
        <v>1</v>
      </c>
      <c r="I59" s="20">
        <f t="shared" si="2"/>
        <v>900</v>
      </c>
      <c r="J59" s="20">
        <f t="shared" si="3"/>
        <v>1800</v>
      </c>
      <c r="K59" s="14">
        <v>1</v>
      </c>
    </row>
    <row r="60" spans="1:11" x14ac:dyDescent="0.35">
      <c r="A60" s="14">
        <v>45</v>
      </c>
      <c r="B60" s="14" t="s">
        <v>138</v>
      </c>
      <c r="C60" s="14" t="s">
        <v>137</v>
      </c>
      <c r="D60" s="14" t="s">
        <v>103</v>
      </c>
      <c r="E60" s="14" t="s">
        <v>77</v>
      </c>
      <c r="F60" s="14" t="s">
        <v>59</v>
      </c>
      <c r="G60" s="14" t="s">
        <v>99</v>
      </c>
      <c r="H60" s="14">
        <v>1</v>
      </c>
      <c r="I60" s="20">
        <f t="shared" si="2"/>
        <v>150</v>
      </c>
      <c r="J60" s="20">
        <f t="shared" si="3"/>
        <v>300</v>
      </c>
      <c r="K60" s="14">
        <v>0</v>
      </c>
    </row>
    <row r="61" spans="1:11" x14ac:dyDescent="0.35">
      <c r="A61" s="14">
        <v>46</v>
      </c>
      <c r="B61" s="14" t="s">
        <v>139</v>
      </c>
      <c r="C61" s="14" t="s">
        <v>137</v>
      </c>
      <c r="D61" s="14" t="s">
        <v>83</v>
      </c>
      <c r="E61" s="14" t="s">
        <v>84</v>
      </c>
      <c r="F61" s="14" t="s">
        <v>57</v>
      </c>
      <c r="G61" s="14" t="s">
        <v>85</v>
      </c>
      <c r="H61" s="14">
        <v>1</v>
      </c>
      <c r="I61" s="20">
        <f t="shared" si="2"/>
        <v>180</v>
      </c>
      <c r="J61" s="20">
        <f t="shared" si="3"/>
        <v>360</v>
      </c>
      <c r="K61" s="14">
        <v>0</v>
      </c>
    </row>
    <row r="62" spans="1:11" x14ac:dyDescent="0.35">
      <c r="A62" s="14">
        <v>47</v>
      </c>
      <c r="B62" s="14" t="s">
        <v>140</v>
      </c>
      <c r="C62" s="14" t="s">
        <v>137</v>
      </c>
      <c r="D62" s="14" t="s">
        <v>103</v>
      </c>
      <c r="E62" s="14" t="s">
        <v>84</v>
      </c>
      <c r="F62" s="14" t="s">
        <v>63</v>
      </c>
      <c r="G62" s="14" t="s">
        <v>78</v>
      </c>
      <c r="H62" s="14">
        <v>3</v>
      </c>
      <c r="I62" s="20">
        <f t="shared" si="2"/>
        <v>950</v>
      </c>
      <c r="J62" s="20">
        <f t="shared" si="3"/>
        <v>5700</v>
      </c>
      <c r="K62" s="14">
        <v>2</v>
      </c>
    </row>
    <row r="63" spans="1:11" x14ac:dyDescent="0.35">
      <c r="A63" s="14">
        <v>48</v>
      </c>
      <c r="B63" s="14" t="s">
        <v>141</v>
      </c>
      <c r="C63" s="14" t="s">
        <v>137</v>
      </c>
      <c r="D63" s="14" t="s">
        <v>76</v>
      </c>
      <c r="E63" s="14" t="s">
        <v>77</v>
      </c>
      <c r="F63" s="14" t="s">
        <v>65</v>
      </c>
      <c r="G63" s="14" t="s">
        <v>85</v>
      </c>
      <c r="H63" s="14">
        <v>2</v>
      </c>
      <c r="I63" s="20">
        <f t="shared" si="2"/>
        <v>650</v>
      </c>
      <c r="J63" s="20">
        <f t="shared" si="3"/>
        <v>2600</v>
      </c>
      <c r="K63" s="14">
        <v>1</v>
      </c>
    </row>
    <row r="64" spans="1:11" x14ac:dyDescent="0.35">
      <c r="A64" s="14">
        <v>49</v>
      </c>
      <c r="B64" s="14" t="s">
        <v>142</v>
      </c>
      <c r="C64" s="14" t="s">
        <v>137</v>
      </c>
      <c r="D64" s="14" t="s">
        <v>80</v>
      </c>
      <c r="E64" s="14" t="s">
        <v>77</v>
      </c>
      <c r="F64" s="14" t="s">
        <v>64</v>
      </c>
      <c r="G64" s="14" t="s">
        <v>78</v>
      </c>
      <c r="H64" s="14">
        <v>1</v>
      </c>
      <c r="I64" s="20">
        <f t="shared" si="2"/>
        <v>780</v>
      </c>
      <c r="J64" s="20">
        <f t="shared" si="3"/>
        <v>1560</v>
      </c>
      <c r="K64" s="14">
        <v>2</v>
      </c>
    </row>
    <row r="65" spans="1:11" x14ac:dyDescent="0.35">
      <c r="A65" s="14">
        <v>50</v>
      </c>
      <c r="B65" s="14" t="s">
        <v>143</v>
      </c>
      <c r="C65" s="14" t="s">
        <v>144</v>
      </c>
      <c r="D65" s="14" t="s">
        <v>83</v>
      </c>
      <c r="E65" s="14" t="s">
        <v>81</v>
      </c>
      <c r="F65" s="14" t="s">
        <v>59</v>
      </c>
      <c r="G65" s="14" t="s">
        <v>99</v>
      </c>
      <c r="H65" s="14">
        <v>1</v>
      </c>
      <c r="I65" s="20">
        <f t="shared" si="2"/>
        <v>150</v>
      </c>
      <c r="J65" s="20">
        <f t="shared" si="3"/>
        <v>300</v>
      </c>
      <c r="K65" s="14">
        <v>0</v>
      </c>
    </row>
    <row r="66" spans="1:11" x14ac:dyDescent="0.35">
      <c r="A66" s="14">
        <v>51</v>
      </c>
      <c r="B66" s="14" t="s">
        <v>145</v>
      </c>
      <c r="C66" s="14" t="s">
        <v>144</v>
      </c>
      <c r="D66" s="14" t="s">
        <v>103</v>
      </c>
      <c r="E66" s="14" t="s">
        <v>93</v>
      </c>
      <c r="F66" s="14" t="s">
        <v>63</v>
      </c>
      <c r="G66" s="14" t="s">
        <v>78</v>
      </c>
      <c r="H66" s="14">
        <v>1</v>
      </c>
      <c r="I66" s="20">
        <f t="shared" si="2"/>
        <v>950</v>
      </c>
      <c r="J66" s="20">
        <f t="shared" si="3"/>
        <v>1900</v>
      </c>
      <c r="K66" s="14">
        <v>2</v>
      </c>
    </row>
    <row r="67" spans="1:11" x14ac:dyDescent="0.35">
      <c r="A67" s="14">
        <v>52</v>
      </c>
      <c r="B67" s="14" t="s">
        <v>143</v>
      </c>
      <c r="C67" s="14" t="s">
        <v>144</v>
      </c>
      <c r="D67" s="14" t="s">
        <v>103</v>
      </c>
      <c r="E67" s="14" t="s">
        <v>93</v>
      </c>
      <c r="F67" s="14" t="s">
        <v>60</v>
      </c>
      <c r="G67" s="14" t="s">
        <v>85</v>
      </c>
      <c r="H67" s="14">
        <v>1</v>
      </c>
      <c r="I67" s="20">
        <f t="shared" si="2"/>
        <v>320</v>
      </c>
      <c r="J67" s="20">
        <f t="shared" si="3"/>
        <v>640</v>
      </c>
      <c r="K67" s="14">
        <v>2</v>
      </c>
    </row>
    <row r="68" spans="1:11" x14ac:dyDescent="0.35">
      <c r="A68" s="14">
        <v>53</v>
      </c>
      <c r="B68" s="14" t="s">
        <v>145</v>
      </c>
      <c r="C68" s="14" t="s">
        <v>144</v>
      </c>
      <c r="D68" s="14" t="s">
        <v>76</v>
      </c>
      <c r="E68" s="14" t="s">
        <v>89</v>
      </c>
      <c r="F68" s="14" t="s">
        <v>58</v>
      </c>
      <c r="G68" s="14" t="s">
        <v>85</v>
      </c>
      <c r="H68" s="14">
        <v>2</v>
      </c>
      <c r="I68" s="20">
        <f t="shared" si="2"/>
        <v>260</v>
      </c>
      <c r="J68" s="20">
        <f t="shared" si="3"/>
        <v>1040</v>
      </c>
      <c r="K68" s="14">
        <v>0</v>
      </c>
    </row>
    <row r="69" spans="1:11" x14ac:dyDescent="0.35">
      <c r="A69" s="14">
        <v>54</v>
      </c>
      <c r="B69" s="14" t="s">
        <v>146</v>
      </c>
      <c r="C69" s="14" t="s">
        <v>144</v>
      </c>
      <c r="D69" s="14" t="s">
        <v>80</v>
      </c>
      <c r="E69" s="14" t="s">
        <v>89</v>
      </c>
      <c r="F69" s="14" t="s">
        <v>58</v>
      </c>
      <c r="G69" s="14" t="s">
        <v>85</v>
      </c>
      <c r="H69" s="14">
        <v>2</v>
      </c>
      <c r="I69" s="20">
        <f t="shared" si="2"/>
        <v>260</v>
      </c>
      <c r="J69" s="20">
        <f t="shared" si="3"/>
        <v>1040</v>
      </c>
      <c r="K69" s="14">
        <v>1</v>
      </c>
    </row>
    <row r="70" spans="1:11" x14ac:dyDescent="0.35">
      <c r="A70" s="14">
        <v>55</v>
      </c>
      <c r="B70" s="14" t="s">
        <v>147</v>
      </c>
      <c r="C70" s="14" t="s">
        <v>148</v>
      </c>
      <c r="D70" s="14" t="s">
        <v>87</v>
      </c>
      <c r="E70" s="14" t="s">
        <v>89</v>
      </c>
      <c r="F70" s="14" t="s">
        <v>57</v>
      </c>
      <c r="G70" s="14" t="s">
        <v>99</v>
      </c>
      <c r="H70" s="14">
        <v>1</v>
      </c>
      <c r="I70" s="20">
        <f t="shared" si="2"/>
        <v>180</v>
      </c>
      <c r="J70" s="20">
        <f t="shared" si="3"/>
        <v>360</v>
      </c>
      <c r="K70" s="14">
        <v>0</v>
      </c>
    </row>
    <row r="71" spans="1:11" x14ac:dyDescent="0.35">
      <c r="A71" s="14">
        <v>56</v>
      </c>
      <c r="B71" s="14" t="s">
        <v>149</v>
      </c>
      <c r="C71" s="14" t="s">
        <v>148</v>
      </c>
      <c r="D71" s="14" t="s">
        <v>87</v>
      </c>
      <c r="E71" s="14" t="s">
        <v>81</v>
      </c>
      <c r="F71" s="14" t="s">
        <v>64</v>
      </c>
      <c r="G71" s="14" t="s">
        <v>78</v>
      </c>
      <c r="H71" s="14">
        <v>2</v>
      </c>
      <c r="I71" s="20">
        <f t="shared" si="2"/>
        <v>780</v>
      </c>
      <c r="J71" s="20">
        <f t="shared" si="3"/>
        <v>3120</v>
      </c>
      <c r="K71" s="14">
        <v>3</v>
      </c>
    </row>
    <row r="72" spans="1:11" x14ac:dyDescent="0.35">
      <c r="A72" s="14">
        <v>57</v>
      </c>
      <c r="B72" s="14" t="s">
        <v>150</v>
      </c>
      <c r="C72" s="14" t="s">
        <v>148</v>
      </c>
      <c r="D72" s="14" t="s">
        <v>87</v>
      </c>
      <c r="E72" s="14" t="s">
        <v>77</v>
      </c>
      <c r="F72" s="14" t="s">
        <v>59</v>
      </c>
      <c r="G72" s="14" t="s">
        <v>99</v>
      </c>
      <c r="H72" s="14">
        <v>1</v>
      </c>
      <c r="I72" s="20">
        <f t="shared" si="2"/>
        <v>150</v>
      </c>
      <c r="J72" s="20">
        <f t="shared" si="3"/>
        <v>300</v>
      </c>
      <c r="K72" s="14">
        <v>0</v>
      </c>
    </row>
    <row r="73" spans="1:11" x14ac:dyDescent="0.35">
      <c r="A73" s="14">
        <v>58</v>
      </c>
      <c r="B73" s="14" t="s">
        <v>151</v>
      </c>
      <c r="C73" s="14" t="s">
        <v>148</v>
      </c>
      <c r="D73" s="14" t="s">
        <v>83</v>
      </c>
      <c r="E73" s="14" t="s">
        <v>93</v>
      </c>
      <c r="F73" s="14" t="s">
        <v>63</v>
      </c>
      <c r="G73" s="14" t="s">
        <v>85</v>
      </c>
      <c r="H73" s="14">
        <v>1</v>
      </c>
      <c r="I73" s="20">
        <f t="shared" si="2"/>
        <v>950</v>
      </c>
      <c r="J73" s="20">
        <f t="shared" si="3"/>
        <v>1900</v>
      </c>
      <c r="K73" s="14">
        <v>1</v>
      </c>
    </row>
    <row r="74" spans="1:11" x14ac:dyDescent="0.35">
      <c r="A74" s="14">
        <v>59</v>
      </c>
      <c r="B74" s="14" t="s">
        <v>151</v>
      </c>
      <c r="C74" s="14" t="s">
        <v>148</v>
      </c>
      <c r="D74" s="14" t="s">
        <v>76</v>
      </c>
      <c r="E74" s="14" t="s">
        <v>84</v>
      </c>
      <c r="F74" s="14" t="s">
        <v>66</v>
      </c>
      <c r="G74" s="14" t="s">
        <v>85</v>
      </c>
      <c r="H74" s="14">
        <v>2</v>
      </c>
      <c r="I74" s="20">
        <f t="shared" si="2"/>
        <v>700</v>
      </c>
      <c r="J74" s="20">
        <f t="shared" si="3"/>
        <v>2800</v>
      </c>
      <c r="K74" s="14">
        <v>1</v>
      </c>
    </row>
    <row r="75" spans="1:11" x14ac:dyDescent="0.35">
      <c r="A75" s="14">
        <v>60</v>
      </c>
      <c r="B75" s="14" t="s">
        <v>152</v>
      </c>
      <c r="C75" s="14" t="s">
        <v>148</v>
      </c>
      <c r="D75" s="14" t="s">
        <v>83</v>
      </c>
      <c r="E75" s="14" t="s">
        <v>77</v>
      </c>
      <c r="F75" s="14" t="s">
        <v>63</v>
      </c>
      <c r="G75" s="14" t="s">
        <v>78</v>
      </c>
      <c r="H75" s="14">
        <v>1</v>
      </c>
      <c r="I75" s="20">
        <f t="shared" si="2"/>
        <v>950</v>
      </c>
      <c r="J75" s="20">
        <f t="shared" si="3"/>
        <v>1900</v>
      </c>
      <c r="K75" s="14">
        <v>2</v>
      </c>
    </row>
    <row r="77" spans="1:11" x14ac:dyDescent="0.35">
      <c r="A77" s="16" t="s">
        <v>153</v>
      </c>
    </row>
  </sheetData>
  <mergeCells count="1">
    <mergeCell ref="A1:C1"/>
  </mergeCells>
  <pageMargins left="0.75" right="0.75" top="1" bottom="1" header="0.511811023622047" footer="0.511811023622047"/>
  <pageSetup fitToHeight="0" orientation="landscape" horizontalDpi="300" verticalDpi="30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pageSetUpPr fitToPage="1"/>
  </sheetPr>
  <dimension ref="A1:F13"/>
  <sheetViews>
    <sheetView zoomScaleNormal="100" workbookViewId="0">
      <selection activeCell="H17" sqref="H17"/>
    </sheetView>
  </sheetViews>
  <sheetFormatPr defaultColWidth="8.6328125" defaultRowHeight="14.5" x14ac:dyDescent="0.35"/>
  <cols>
    <col min="1" max="1" width="8" customWidth="1"/>
    <col min="2" max="2" width="16" customWidth="1"/>
    <col min="3" max="4" width="14" customWidth="1"/>
    <col min="5" max="6" width="12" customWidth="1"/>
  </cols>
  <sheetData>
    <row r="1" spans="1:6" x14ac:dyDescent="0.35">
      <c r="A1" s="12" t="s">
        <v>69</v>
      </c>
      <c r="B1" s="12" t="s">
        <v>154</v>
      </c>
      <c r="C1" s="12" t="s">
        <v>155</v>
      </c>
      <c r="D1" s="12" t="s">
        <v>156</v>
      </c>
      <c r="E1" s="12" t="s">
        <v>73</v>
      </c>
      <c r="F1" s="12" t="s">
        <v>157</v>
      </c>
    </row>
    <row r="2" spans="1:6" x14ac:dyDescent="0.35">
      <c r="A2" s="14" t="s">
        <v>75</v>
      </c>
      <c r="B2" s="21">
        <f>SUMIFS('04_Business Trip Bookings (Raw)'!$J$16:$J$75,'04_Business Trip Bookings (Raw)'!$C$16:$C$75,A2,'04_Business Trip Bookings (Raw)'!$G$16:$G$75,"Air")</f>
        <v>6320</v>
      </c>
      <c r="C2" s="21">
        <f>SUMIFS('04_Business Trip Bookings (Raw)'!$J$16:$J$75,'04_Business Trip Bookings (Raw)'!$C$16:$C$75,A2,'04_Business Trip Bookings (Raw)'!$G$16:$G$75,"Rail")</f>
        <v>1700</v>
      </c>
      <c r="D2" s="21">
        <f>SUMIFS('04_Business Trip Bookings (Raw)'!$J$16:$J$75,'04_Business Trip Bookings (Raw)'!$C$16:$C$75,A2,'04_Business Trip Bookings (Raw)'!$G$16:$G$75,"Car")</f>
        <v>0</v>
      </c>
      <c r="E2" s="21">
        <f>SUMIFS('04_Business Trip Bookings (Raw)'!$K$16:$K$75,'04_Business Trip Bookings (Raw)'!$C$16:$C$75,A2)</f>
        <v>6</v>
      </c>
      <c r="F2" s="21">
        <f>COUNTIFS('04_Business Trip Bookings (Raw)'!$C$16:$C$75,A2)</f>
        <v>5</v>
      </c>
    </row>
    <row r="3" spans="1:6" x14ac:dyDescent="0.35">
      <c r="A3" s="14" t="s">
        <v>91</v>
      </c>
      <c r="B3" s="21">
        <f>SUMIFS('04_Business Trip Bookings (Raw)'!$J$16:$J$75,'04_Business Trip Bookings (Raw)'!$C$16:$C$75,A3,'04_Business Trip Bookings (Raw)'!$G$16:$G$75,"Air")</f>
        <v>8160</v>
      </c>
      <c r="C3" s="21">
        <f>SUMIFS('04_Business Trip Bookings (Raw)'!$J$16:$J$75,'04_Business Trip Bookings (Raw)'!$C$16:$C$75,A3,'04_Business Trip Bookings (Raw)'!$G$16:$G$75,"Rail")</f>
        <v>1800</v>
      </c>
      <c r="D3" s="21">
        <f>SUMIFS('04_Business Trip Bookings (Raw)'!$J$16:$J$75,'04_Business Trip Bookings (Raw)'!$C$16:$C$75,A3,'04_Business Trip Bookings (Raw)'!$G$16:$G$75,"Car")</f>
        <v>0</v>
      </c>
      <c r="E3" s="21">
        <f>SUMIFS('04_Business Trip Bookings (Raw)'!$K$16:$K$75,'04_Business Trip Bookings (Raw)'!$C$16:$C$75,A3)</f>
        <v>8</v>
      </c>
      <c r="F3" s="21">
        <f>COUNTIFS('04_Business Trip Bookings (Raw)'!$C$16:$C$75,A3)</f>
        <v>4</v>
      </c>
    </row>
    <row r="4" spans="1:6" x14ac:dyDescent="0.35">
      <c r="A4" s="14" t="s">
        <v>97</v>
      </c>
      <c r="B4" s="21">
        <f>SUMIFS('04_Business Trip Bookings (Raw)'!$J$16:$J$75,'04_Business Trip Bookings (Raw)'!$C$16:$C$75,A4,'04_Business Trip Bookings (Raw)'!$G$16:$G$75,"Air")</f>
        <v>12420</v>
      </c>
      <c r="C4" s="21">
        <f>SUMIFS('04_Business Trip Bookings (Raw)'!$J$16:$J$75,'04_Business Trip Bookings (Raw)'!$C$16:$C$75,A4,'04_Business Trip Bookings (Raw)'!$G$16:$G$75,"Rail")</f>
        <v>0</v>
      </c>
      <c r="D4" s="21">
        <f>SUMIFS('04_Business Trip Bookings (Raw)'!$J$16:$J$75,'04_Business Trip Bookings (Raw)'!$C$16:$C$75,A4,'04_Business Trip Bookings (Raw)'!$G$16:$G$75,"Car")</f>
        <v>300</v>
      </c>
      <c r="E4" s="21">
        <f>SUMIFS('04_Business Trip Bookings (Raw)'!$K$16:$K$75,'04_Business Trip Bookings (Raw)'!$C$16:$C$75,A4)</f>
        <v>8</v>
      </c>
      <c r="F4" s="21">
        <f>COUNTIFS('04_Business Trip Bookings (Raw)'!$C$16:$C$75,A4)</f>
        <v>6</v>
      </c>
    </row>
    <row r="5" spans="1:6" x14ac:dyDescent="0.35">
      <c r="A5" s="14" t="s">
        <v>106</v>
      </c>
      <c r="B5" s="21">
        <f>SUMIFS('04_Business Trip Bookings (Raw)'!$J$16:$J$75,'04_Business Trip Bookings (Raw)'!$C$16:$C$75,A5,'04_Business Trip Bookings (Raw)'!$G$16:$G$75,"Air")</f>
        <v>0</v>
      </c>
      <c r="C5" s="21">
        <f>SUMIFS('04_Business Trip Bookings (Raw)'!$J$16:$J$75,'04_Business Trip Bookings (Raw)'!$C$16:$C$75,A5,'04_Business Trip Bookings (Raw)'!$G$16:$G$75,"Rail")</f>
        <v>5420</v>
      </c>
      <c r="D5" s="21">
        <f>SUMIFS('04_Business Trip Bookings (Raw)'!$J$16:$J$75,'04_Business Trip Bookings (Raw)'!$C$16:$C$75,A5,'04_Business Trip Bookings (Raw)'!$G$16:$G$75,"Car")</f>
        <v>960</v>
      </c>
      <c r="E5" s="21">
        <f>SUMIFS('04_Business Trip Bookings (Raw)'!$K$16:$K$75,'04_Business Trip Bookings (Raw)'!$C$16:$C$75,A5)</f>
        <v>4</v>
      </c>
      <c r="F5" s="21">
        <f>COUNTIFS('04_Business Trip Bookings (Raw)'!$C$16:$C$75,A5)</f>
        <v>5</v>
      </c>
    </row>
    <row r="6" spans="1:6" x14ac:dyDescent="0.35">
      <c r="A6" s="14" t="s">
        <v>111</v>
      </c>
      <c r="B6" s="21">
        <f>SUMIFS('04_Business Trip Bookings (Raw)'!$J$16:$J$75,'04_Business Trip Bookings (Raw)'!$C$16:$C$75,A6,'04_Business Trip Bookings (Raw)'!$G$16:$G$75,"Air")</f>
        <v>7700</v>
      </c>
      <c r="C6" s="21">
        <f>SUMIFS('04_Business Trip Bookings (Raw)'!$J$16:$J$75,'04_Business Trip Bookings (Raw)'!$C$16:$C$75,A6,'04_Business Trip Bookings (Raw)'!$G$16:$G$75,"Rail")</f>
        <v>5600</v>
      </c>
      <c r="D6" s="21">
        <f>SUMIFS('04_Business Trip Bookings (Raw)'!$J$16:$J$75,'04_Business Trip Bookings (Raw)'!$C$16:$C$75,A6,'04_Business Trip Bookings (Raw)'!$G$16:$G$75,"Car")</f>
        <v>360</v>
      </c>
      <c r="E6" s="21">
        <f>SUMIFS('04_Business Trip Bookings (Raw)'!$K$16:$K$75,'04_Business Trip Bookings (Raw)'!$C$16:$C$75,A6)</f>
        <v>10</v>
      </c>
      <c r="F6" s="21">
        <f>COUNTIFS('04_Business Trip Bookings (Raw)'!$C$16:$C$75,A6)</f>
        <v>6</v>
      </c>
    </row>
    <row r="7" spans="1:6" x14ac:dyDescent="0.35">
      <c r="A7" s="14" t="s">
        <v>117</v>
      </c>
      <c r="B7" s="21">
        <f>SUMIFS('04_Business Trip Bookings (Raw)'!$J$16:$J$75,'04_Business Trip Bookings (Raw)'!$C$16:$C$75,A7,'04_Business Trip Bookings (Raw)'!$G$16:$G$75,"Air")</f>
        <v>6600</v>
      </c>
      <c r="C7" s="21">
        <f>SUMIFS('04_Business Trip Bookings (Raw)'!$J$16:$J$75,'04_Business Trip Bookings (Raw)'!$C$16:$C$75,A7,'04_Business Trip Bookings (Raw)'!$G$16:$G$75,"Rail")</f>
        <v>5420</v>
      </c>
      <c r="D7" s="21">
        <f>SUMIFS('04_Business Trip Bookings (Raw)'!$J$16:$J$75,'04_Business Trip Bookings (Raw)'!$C$16:$C$75,A7,'04_Business Trip Bookings (Raw)'!$G$16:$G$75,"Car")</f>
        <v>1560</v>
      </c>
      <c r="E7" s="21">
        <f>SUMIFS('04_Business Trip Bookings (Raw)'!$K$16:$K$75,'04_Business Trip Bookings (Raw)'!$C$16:$C$75,A7)</f>
        <v>10</v>
      </c>
      <c r="F7" s="21">
        <f>COUNTIFS('04_Business Trip Bookings (Raw)'!$C$16:$C$75,A7)</f>
        <v>7</v>
      </c>
    </row>
    <row r="8" spans="1:6" x14ac:dyDescent="0.35">
      <c r="A8" s="14" t="s">
        <v>125</v>
      </c>
      <c r="B8" s="21">
        <f>SUMIFS('04_Business Trip Bookings (Raw)'!$J$16:$J$75,'04_Business Trip Bookings (Raw)'!$C$16:$C$75,A8,'04_Business Trip Bookings (Raw)'!$G$16:$G$75,"Air")</f>
        <v>2600</v>
      </c>
      <c r="C8" s="21">
        <f>SUMIFS('04_Business Trip Bookings (Raw)'!$J$16:$J$75,'04_Business Trip Bookings (Raw)'!$C$16:$C$75,A8,'04_Business Trip Bookings (Raw)'!$G$16:$G$75,"Rail")</f>
        <v>4680</v>
      </c>
      <c r="D8" s="21">
        <f>SUMIFS('04_Business Trip Bookings (Raw)'!$J$16:$J$75,'04_Business Trip Bookings (Raw)'!$C$16:$C$75,A8,'04_Business Trip Bookings (Raw)'!$G$16:$G$75,"Car")</f>
        <v>0</v>
      </c>
      <c r="E8" s="21">
        <f>SUMIFS('04_Business Trip Bookings (Raw)'!$K$16:$K$75,'04_Business Trip Bookings (Raw)'!$C$16:$C$75,A8)</f>
        <v>2</v>
      </c>
      <c r="F8" s="21">
        <f>COUNTIFS('04_Business Trip Bookings (Raw)'!$C$16:$C$75,A8)</f>
        <v>2</v>
      </c>
    </row>
    <row r="9" spans="1:6" x14ac:dyDescent="0.35">
      <c r="A9" s="14" t="s">
        <v>128</v>
      </c>
      <c r="B9" s="21">
        <f>SUMIFS('04_Business Trip Bookings (Raw)'!$J$16:$J$75,'04_Business Trip Bookings (Raw)'!$C$16:$C$75,A9,'04_Business Trip Bookings (Raw)'!$G$16:$G$75,"Air")</f>
        <v>0</v>
      </c>
      <c r="C9" s="21">
        <f>SUMIFS('04_Business Trip Bookings (Raw)'!$J$16:$J$75,'04_Business Trip Bookings (Raw)'!$C$16:$C$75,A9,'04_Business Trip Bookings (Raw)'!$G$16:$G$75,"Rail")</f>
        <v>2540</v>
      </c>
      <c r="D9" s="21">
        <f>SUMIFS('04_Business Trip Bookings (Raw)'!$J$16:$J$75,'04_Business Trip Bookings (Raw)'!$C$16:$C$75,A9,'04_Business Trip Bookings (Raw)'!$G$16:$G$75,"Car")</f>
        <v>0</v>
      </c>
      <c r="E9" s="21">
        <f>SUMIFS('04_Business Trip Bookings (Raw)'!$K$16:$K$75,'04_Business Trip Bookings (Raw)'!$C$16:$C$75,A9)</f>
        <v>5</v>
      </c>
      <c r="F9" s="21">
        <f>COUNTIFS('04_Business Trip Bookings (Raw)'!$C$16:$C$75,A9)</f>
        <v>2</v>
      </c>
    </row>
    <row r="10" spans="1:6" x14ac:dyDescent="0.35">
      <c r="A10" s="14" t="s">
        <v>131</v>
      </c>
      <c r="B10" s="21">
        <f>SUMIFS('04_Business Trip Bookings (Raw)'!$J$16:$J$75,'04_Business Trip Bookings (Raw)'!$C$16:$C$75,A10,'04_Business Trip Bookings (Raw)'!$G$16:$G$75,"Air")</f>
        <v>6240</v>
      </c>
      <c r="C10" s="21">
        <f>SUMIFS('04_Business Trip Bookings (Raw)'!$J$16:$J$75,'04_Business Trip Bookings (Raw)'!$C$16:$C$75,A10,'04_Business Trip Bookings (Raw)'!$G$16:$G$75,"Rail")</f>
        <v>1280</v>
      </c>
      <c r="D10" s="21">
        <f>SUMIFS('04_Business Trip Bookings (Raw)'!$J$16:$J$75,'04_Business Trip Bookings (Raw)'!$C$16:$C$75,A10,'04_Business Trip Bookings (Raw)'!$G$16:$G$75,"Car")</f>
        <v>900</v>
      </c>
      <c r="E10" s="21">
        <f>SUMIFS('04_Business Trip Bookings (Raw)'!$K$16:$K$75,'04_Business Trip Bookings (Raw)'!$C$16:$C$75,A10)</f>
        <v>9</v>
      </c>
      <c r="F10" s="21">
        <f>COUNTIFS('04_Business Trip Bookings (Raw)'!$C$16:$C$75,A10)</f>
        <v>6</v>
      </c>
    </row>
    <row r="11" spans="1:6" x14ac:dyDescent="0.35">
      <c r="A11" s="14" t="s">
        <v>137</v>
      </c>
      <c r="B11" s="21">
        <f>SUMIFS('04_Business Trip Bookings (Raw)'!$J$16:$J$75,'04_Business Trip Bookings (Raw)'!$C$16:$C$75,A11,'04_Business Trip Bookings (Raw)'!$G$16:$G$75,"Air")</f>
        <v>9060</v>
      </c>
      <c r="C11" s="21">
        <f>SUMIFS('04_Business Trip Bookings (Raw)'!$J$16:$J$75,'04_Business Trip Bookings (Raw)'!$C$16:$C$75,A11,'04_Business Trip Bookings (Raw)'!$G$16:$G$75,"Rail")</f>
        <v>2960</v>
      </c>
      <c r="D11" s="21">
        <f>SUMIFS('04_Business Trip Bookings (Raw)'!$J$16:$J$75,'04_Business Trip Bookings (Raw)'!$C$16:$C$75,A11,'04_Business Trip Bookings (Raw)'!$G$16:$G$75,"Car")</f>
        <v>300</v>
      </c>
      <c r="E11" s="21">
        <f>SUMIFS('04_Business Trip Bookings (Raw)'!$K$16:$K$75,'04_Business Trip Bookings (Raw)'!$C$16:$C$75,A11)</f>
        <v>6</v>
      </c>
      <c r="F11" s="21">
        <f>COUNTIFS('04_Business Trip Bookings (Raw)'!$C$16:$C$75,A11)</f>
        <v>6</v>
      </c>
    </row>
    <row r="12" spans="1:6" x14ac:dyDescent="0.35">
      <c r="A12" s="14" t="s">
        <v>144</v>
      </c>
      <c r="B12" s="21">
        <f>SUMIFS('04_Business Trip Bookings (Raw)'!$J$16:$J$75,'04_Business Trip Bookings (Raw)'!$C$16:$C$75,A12,'04_Business Trip Bookings (Raw)'!$G$16:$G$75,"Air")</f>
        <v>1900</v>
      </c>
      <c r="C12" s="21">
        <f>SUMIFS('04_Business Trip Bookings (Raw)'!$J$16:$J$75,'04_Business Trip Bookings (Raw)'!$C$16:$C$75,A12,'04_Business Trip Bookings (Raw)'!$G$16:$G$75,"Rail")</f>
        <v>2720</v>
      </c>
      <c r="D12" s="21">
        <f>SUMIFS('04_Business Trip Bookings (Raw)'!$J$16:$J$75,'04_Business Trip Bookings (Raw)'!$C$16:$C$75,A12,'04_Business Trip Bookings (Raw)'!$G$16:$G$75,"Car")</f>
        <v>300</v>
      </c>
      <c r="E12" s="21">
        <f>SUMIFS('04_Business Trip Bookings (Raw)'!$K$16:$K$75,'04_Business Trip Bookings (Raw)'!$C$16:$C$75,A12)</f>
        <v>5</v>
      </c>
      <c r="F12" s="21">
        <f>COUNTIFS('04_Business Trip Bookings (Raw)'!$C$16:$C$75,A12)</f>
        <v>5</v>
      </c>
    </row>
    <row r="13" spans="1:6" x14ac:dyDescent="0.35">
      <c r="A13" s="14" t="s">
        <v>148</v>
      </c>
      <c r="B13" s="21">
        <f>SUMIFS('04_Business Trip Bookings (Raw)'!$J$16:$J$75,'04_Business Trip Bookings (Raw)'!$C$16:$C$75,A13,'04_Business Trip Bookings (Raw)'!$G$16:$G$75,"Air")</f>
        <v>5020</v>
      </c>
      <c r="C13" s="21">
        <f>SUMIFS('04_Business Trip Bookings (Raw)'!$J$16:$J$75,'04_Business Trip Bookings (Raw)'!$C$16:$C$75,A13,'04_Business Trip Bookings (Raw)'!$G$16:$G$75,"Rail")</f>
        <v>4700</v>
      </c>
      <c r="D13" s="21">
        <f>SUMIFS('04_Business Trip Bookings (Raw)'!$J$16:$J$75,'04_Business Trip Bookings (Raw)'!$C$16:$C$75,A13,'04_Business Trip Bookings (Raw)'!$G$16:$G$75,"Car")</f>
        <v>660</v>
      </c>
      <c r="E13" s="21">
        <f>SUMIFS('04_Business Trip Bookings (Raw)'!$K$16:$K$75,'04_Business Trip Bookings (Raw)'!$C$16:$C$75,A13)</f>
        <v>7</v>
      </c>
      <c r="F13" s="21">
        <f>COUNTIFS('04_Business Trip Bookings (Raw)'!$C$16:$C$75,A13)</f>
        <v>6</v>
      </c>
    </row>
  </sheetData>
  <pageMargins left="0.75" right="0.75" top="1" bottom="1" header="0.511811023622047" footer="0.511811023622047"/>
  <pageSetup fitToHeight="0" orientation="landscape" horizontalDpi="300" verticalDpi="300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pageSetUpPr fitToPage="1"/>
  </sheetPr>
  <dimension ref="A1:F15"/>
  <sheetViews>
    <sheetView zoomScaleNormal="100" workbookViewId="0"/>
  </sheetViews>
  <sheetFormatPr defaultColWidth="8.6328125" defaultRowHeight="14.5" x14ac:dyDescent="0.35"/>
  <cols>
    <col min="1" max="1" width="8" customWidth="1"/>
    <col min="2" max="2" width="14" customWidth="1"/>
    <col min="3" max="3" width="20" customWidth="1"/>
    <col min="4" max="4" width="16" customWidth="1"/>
    <col min="5" max="5" width="26" customWidth="1"/>
    <col min="6" max="6" width="22" customWidth="1"/>
  </cols>
  <sheetData>
    <row r="1" spans="1:6" ht="26" x14ac:dyDescent="0.35">
      <c r="A1" s="12" t="s">
        <v>69</v>
      </c>
      <c r="B1" s="12" t="s">
        <v>158</v>
      </c>
      <c r="C1" s="12" t="s">
        <v>159</v>
      </c>
      <c r="D1" s="12" t="s">
        <v>160</v>
      </c>
      <c r="E1" s="12" t="s">
        <v>161</v>
      </c>
      <c r="F1" s="12" t="s">
        <v>162</v>
      </c>
    </row>
    <row r="2" spans="1:6" x14ac:dyDescent="0.35">
      <c r="A2" s="14" t="s">
        <v>75</v>
      </c>
      <c r="B2" s="21">
        <v>4200</v>
      </c>
      <c r="C2" s="21">
        <f>B2*'03_Commuting Assumptions'!$C$14</f>
        <v>770</v>
      </c>
      <c r="D2" s="21">
        <f>C2*'03_Commuting Assumptions'!$B$23</f>
        <v>224296.80000000002</v>
      </c>
      <c r="E2" s="21">
        <f>B2*'03_Commuting Assumptions'!$C$13</f>
        <v>980</v>
      </c>
      <c r="F2" s="21">
        <f>E2*'03_Commuting Assumptions'!$B$22</f>
        <v>132739.75</v>
      </c>
    </row>
    <row r="3" spans="1:6" x14ac:dyDescent="0.35">
      <c r="A3" s="14" t="s">
        <v>91</v>
      </c>
      <c r="B3" s="21">
        <v>4200</v>
      </c>
      <c r="C3" s="21">
        <f>B3*'03_Commuting Assumptions'!$C$14</f>
        <v>770</v>
      </c>
      <c r="D3" s="21">
        <f>C3*'03_Commuting Assumptions'!$B$23</f>
        <v>224296.80000000002</v>
      </c>
      <c r="E3" s="21">
        <f>B3*'03_Commuting Assumptions'!$C$13</f>
        <v>980</v>
      </c>
      <c r="F3" s="21">
        <f>E3*'03_Commuting Assumptions'!$B$22</f>
        <v>132739.75</v>
      </c>
    </row>
    <row r="4" spans="1:6" x14ac:dyDescent="0.35">
      <c r="A4" s="14" t="s">
        <v>97</v>
      </c>
      <c r="B4" s="21">
        <v>4100</v>
      </c>
      <c r="C4" s="21">
        <f>B4*'03_Commuting Assumptions'!$C$14</f>
        <v>751.66666666666663</v>
      </c>
      <c r="D4" s="21">
        <f>C4*'03_Commuting Assumptions'!$B$23</f>
        <v>218956.4</v>
      </c>
      <c r="E4" s="21">
        <f>B4*'03_Commuting Assumptions'!$C$13</f>
        <v>956.66666666666663</v>
      </c>
      <c r="F4" s="21">
        <f>E4*'03_Commuting Assumptions'!$B$22</f>
        <v>129579.27976190476</v>
      </c>
    </row>
    <row r="5" spans="1:6" x14ac:dyDescent="0.35">
      <c r="A5" s="14" t="s">
        <v>106</v>
      </c>
      <c r="B5" s="21">
        <v>3900</v>
      </c>
      <c r="C5" s="21">
        <f>B5*'03_Commuting Assumptions'!$C$14</f>
        <v>715</v>
      </c>
      <c r="D5" s="21">
        <f>C5*'03_Commuting Assumptions'!$B$23</f>
        <v>208275.6</v>
      </c>
      <c r="E5" s="21">
        <f>B5*'03_Commuting Assumptions'!$C$13</f>
        <v>910</v>
      </c>
      <c r="F5" s="21">
        <f>E5*'03_Commuting Assumptions'!$B$22</f>
        <v>123258.33928571429</v>
      </c>
    </row>
    <row r="6" spans="1:6" x14ac:dyDescent="0.35">
      <c r="A6" s="14" t="s">
        <v>111</v>
      </c>
      <c r="B6" s="21">
        <v>3500</v>
      </c>
      <c r="C6" s="21">
        <f>B6*'03_Commuting Assumptions'!$C$14</f>
        <v>641.66666666666663</v>
      </c>
      <c r="D6" s="21">
        <f>C6*'03_Commuting Assumptions'!$B$23</f>
        <v>186914</v>
      </c>
      <c r="E6" s="21">
        <f>B6*'03_Commuting Assumptions'!$C$13</f>
        <v>816.66666666666663</v>
      </c>
      <c r="F6" s="21">
        <f>E6*'03_Commuting Assumptions'!$B$22</f>
        <v>110616.45833333333</v>
      </c>
    </row>
    <row r="7" spans="1:6" x14ac:dyDescent="0.35">
      <c r="A7" s="14" t="s">
        <v>117</v>
      </c>
      <c r="B7" s="21">
        <v>2500</v>
      </c>
      <c r="C7" s="21">
        <f>B7*'03_Commuting Assumptions'!$C$14</f>
        <v>458.33333333333331</v>
      </c>
      <c r="D7" s="21">
        <f>C7*'03_Commuting Assumptions'!$B$23</f>
        <v>133510</v>
      </c>
      <c r="E7" s="21">
        <f>B7*'03_Commuting Assumptions'!$C$13</f>
        <v>583.33333333333337</v>
      </c>
      <c r="F7" s="21">
        <f>E7*'03_Commuting Assumptions'!$B$22</f>
        <v>79011.755952380961</v>
      </c>
    </row>
    <row r="8" spans="1:6" x14ac:dyDescent="0.35">
      <c r="A8" s="14" t="s">
        <v>125</v>
      </c>
      <c r="B8" s="21">
        <v>800</v>
      </c>
      <c r="C8" s="21">
        <f>B8*'03_Commuting Assumptions'!$C$14</f>
        <v>146.66666666666666</v>
      </c>
      <c r="D8" s="21">
        <f>C8*'03_Commuting Assumptions'!$B$23</f>
        <v>42723.199999999997</v>
      </c>
      <c r="E8" s="21">
        <f>B8*'03_Commuting Assumptions'!$C$13</f>
        <v>186.66666666666666</v>
      </c>
      <c r="F8" s="21">
        <f>E8*'03_Commuting Assumptions'!$B$22</f>
        <v>25283.761904761905</v>
      </c>
    </row>
    <row r="9" spans="1:6" x14ac:dyDescent="0.35">
      <c r="A9" s="14" t="s">
        <v>128</v>
      </c>
      <c r="B9" s="21">
        <v>600</v>
      </c>
      <c r="C9" s="21">
        <f>B9*'03_Commuting Assumptions'!$C$14</f>
        <v>109.99999999999999</v>
      </c>
      <c r="D9" s="21">
        <f>C9*'03_Commuting Assumptions'!$B$23</f>
        <v>32042.399999999998</v>
      </c>
      <c r="E9" s="21">
        <f>B9*'03_Commuting Assumptions'!$C$13</f>
        <v>140</v>
      </c>
      <c r="F9" s="21">
        <f>E9*'03_Commuting Assumptions'!$B$22</f>
        <v>18962.821428571428</v>
      </c>
    </row>
    <row r="10" spans="1:6" x14ac:dyDescent="0.35">
      <c r="A10" s="14" t="s">
        <v>131</v>
      </c>
      <c r="B10" s="21">
        <v>2800</v>
      </c>
      <c r="C10" s="21">
        <f>B10*'03_Commuting Assumptions'!$C$14</f>
        <v>513.33333333333326</v>
      </c>
      <c r="D10" s="21">
        <f>C10*'03_Commuting Assumptions'!$B$23</f>
        <v>149531.19999999998</v>
      </c>
      <c r="E10" s="21">
        <f>B10*'03_Commuting Assumptions'!$C$13</f>
        <v>653.33333333333337</v>
      </c>
      <c r="F10" s="21">
        <f>E10*'03_Commuting Assumptions'!$B$22</f>
        <v>88493.166666666672</v>
      </c>
    </row>
    <row r="11" spans="1:6" x14ac:dyDescent="0.35">
      <c r="A11" s="14" t="s">
        <v>137</v>
      </c>
      <c r="B11" s="21">
        <v>3800</v>
      </c>
      <c r="C11" s="21">
        <f>B11*'03_Commuting Assumptions'!$C$14</f>
        <v>696.66666666666663</v>
      </c>
      <c r="D11" s="21">
        <f>C11*'03_Commuting Assumptions'!$B$23</f>
        <v>202935.2</v>
      </c>
      <c r="E11" s="21">
        <f>B11*'03_Commuting Assumptions'!$C$13</f>
        <v>886.66666666666663</v>
      </c>
      <c r="F11" s="21">
        <f>E11*'03_Commuting Assumptions'!$B$22</f>
        <v>120097.86904761904</v>
      </c>
    </row>
    <row r="12" spans="1:6" x14ac:dyDescent="0.35">
      <c r="A12" s="14" t="s">
        <v>144</v>
      </c>
      <c r="B12" s="21">
        <v>4100</v>
      </c>
      <c r="C12" s="21">
        <f>B12*'03_Commuting Assumptions'!$C$14</f>
        <v>751.66666666666663</v>
      </c>
      <c r="D12" s="21">
        <f>C12*'03_Commuting Assumptions'!$B$23</f>
        <v>218956.4</v>
      </c>
      <c r="E12" s="21">
        <f>B12*'03_Commuting Assumptions'!$C$13</f>
        <v>956.66666666666663</v>
      </c>
      <c r="F12" s="21">
        <f>E12*'03_Commuting Assumptions'!$B$22</f>
        <v>129579.27976190476</v>
      </c>
    </row>
    <row r="13" spans="1:6" x14ac:dyDescent="0.35">
      <c r="A13" s="14" t="s">
        <v>148</v>
      </c>
      <c r="B13" s="21">
        <v>4300</v>
      </c>
      <c r="C13" s="21">
        <f>B13*'03_Commuting Assumptions'!$C$14</f>
        <v>788.33333333333326</v>
      </c>
      <c r="D13" s="21">
        <f>C13*'03_Commuting Assumptions'!$B$23</f>
        <v>229637.19999999998</v>
      </c>
      <c r="E13" s="21">
        <f>B13*'03_Commuting Assumptions'!$C$13</f>
        <v>1003.3333333333334</v>
      </c>
      <c r="F13" s="21">
        <f>E13*'03_Commuting Assumptions'!$B$22</f>
        <v>135900.22023809524</v>
      </c>
    </row>
    <row r="15" spans="1:6" x14ac:dyDescent="0.35">
      <c r="A15" s="16" t="s">
        <v>163</v>
      </c>
    </row>
  </sheetData>
  <pageMargins left="0.75" right="0.75" top="1" bottom="1" header="0.511811023622047" footer="0.511811023622047"/>
  <pageSetup fitToHeight="0" orientation="landscape" horizontalDpi="300" verticalDpi="30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pageSetUpPr fitToPage="1"/>
  </sheetPr>
  <dimension ref="A1:G15"/>
  <sheetViews>
    <sheetView zoomScaleNormal="100" workbookViewId="0"/>
  </sheetViews>
  <sheetFormatPr defaultColWidth="8.6328125" defaultRowHeight="14.5" x14ac:dyDescent="0.35"/>
  <cols>
    <col min="1" max="1" width="8" customWidth="1"/>
    <col min="2" max="2" width="20" customWidth="1"/>
    <col min="3" max="4" width="18" customWidth="1"/>
    <col min="5" max="6" width="16" customWidth="1"/>
    <col min="7" max="7" width="22" customWidth="1"/>
  </cols>
  <sheetData>
    <row r="1" spans="1:7" ht="26" x14ac:dyDescent="0.35">
      <c r="A1" s="12" t="s">
        <v>69</v>
      </c>
      <c r="B1" s="12" t="s">
        <v>164</v>
      </c>
      <c r="C1" s="12" t="s">
        <v>165</v>
      </c>
      <c r="D1" s="12" t="s">
        <v>166</v>
      </c>
      <c r="E1" s="12" t="s">
        <v>167</v>
      </c>
      <c r="F1" s="12" t="s">
        <v>168</v>
      </c>
      <c r="G1" s="12" t="s">
        <v>169</v>
      </c>
    </row>
    <row r="2" spans="1:7" x14ac:dyDescent="0.35">
      <c r="A2" s="14" t="str">
        <f>'05_Monthly Aggregation - Trips'!A2</f>
        <v>Jan</v>
      </c>
      <c r="B2" s="21">
        <f>'05_Monthly Aggregation - Trips'!B2</f>
        <v>6320</v>
      </c>
      <c r="C2" s="21">
        <f>'05_Monthly Aggregation - Trips'!C2</f>
        <v>1700</v>
      </c>
      <c r="D2" s="21">
        <f>'05_Monthly Aggregation - Trips'!D2</f>
        <v>0</v>
      </c>
      <c r="E2" s="21">
        <f>'05_Monthly Aggregation - Trips'!E2</f>
        <v>6</v>
      </c>
      <c r="F2" s="21">
        <f>'06_Monthly Estimate - Commuting'!D2</f>
        <v>224296.80000000002</v>
      </c>
      <c r="G2" s="21">
        <f>'06_Monthly Estimate - Commuting'!F2</f>
        <v>132739.75</v>
      </c>
    </row>
    <row r="3" spans="1:7" x14ac:dyDescent="0.35">
      <c r="A3" s="14" t="str">
        <f>'05_Monthly Aggregation - Trips'!A3</f>
        <v>Feb</v>
      </c>
      <c r="B3" s="21">
        <f>'05_Monthly Aggregation - Trips'!B3</f>
        <v>8160</v>
      </c>
      <c r="C3" s="21">
        <f>'05_Monthly Aggregation - Trips'!C3</f>
        <v>1800</v>
      </c>
      <c r="D3" s="21">
        <f>'05_Monthly Aggregation - Trips'!D3</f>
        <v>0</v>
      </c>
      <c r="E3" s="21">
        <f>'05_Monthly Aggregation - Trips'!E3</f>
        <v>8</v>
      </c>
      <c r="F3" s="21">
        <f>'06_Monthly Estimate - Commuting'!D3</f>
        <v>224296.80000000002</v>
      </c>
      <c r="G3" s="21">
        <f>'06_Monthly Estimate - Commuting'!F3</f>
        <v>132739.75</v>
      </c>
    </row>
    <row r="4" spans="1:7" x14ac:dyDescent="0.35">
      <c r="A4" s="14" t="str">
        <f>'05_Monthly Aggregation - Trips'!A4</f>
        <v>Mar</v>
      </c>
      <c r="B4" s="21">
        <f>'05_Monthly Aggregation - Trips'!B4</f>
        <v>12420</v>
      </c>
      <c r="C4" s="21">
        <f>'05_Monthly Aggregation - Trips'!C4</f>
        <v>0</v>
      </c>
      <c r="D4" s="21">
        <f>'05_Monthly Aggregation - Trips'!D4</f>
        <v>300</v>
      </c>
      <c r="E4" s="21">
        <f>'05_Monthly Aggregation - Trips'!E4</f>
        <v>8</v>
      </c>
      <c r="F4" s="21">
        <f>'06_Monthly Estimate - Commuting'!D4</f>
        <v>218956.4</v>
      </c>
      <c r="G4" s="21">
        <f>'06_Monthly Estimate - Commuting'!F4</f>
        <v>129579.27976190476</v>
      </c>
    </row>
    <row r="5" spans="1:7" x14ac:dyDescent="0.35">
      <c r="A5" s="14" t="str">
        <f>'05_Monthly Aggregation - Trips'!A5</f>
        <v>Apr</v>
      </c>
      <c r="B5" s="21">
        <f>'05_Monthly Aggregation - Trips'!B5</f>
        <v>0</v>
      </c>
      <c r="C5" s="21">
        <f>'05_Monthly Aggregation - Trips'!C5</f>
        <v>5420</v>
      </c>
      <c r="D5" s="21">
        <f>'05_Monthly Aggregation - Trips'!D5</f>
        <v>960</v>
      </c>
      <c r="E5" s="21">
        <f>'05_Monthly Aggregation - Trips'!E5</f>
        <v>4</v>
      </c>
      <c r="F5" s="21">
        <f>'06_Monthly Estimate - Commuting'!D5</f>
        <v>208275.6</v>
      </c>
      <c r="G5" s="21">
        <f>'06_Monthly Estimate - Commuting'!F5</f>
        <v>123258.33928571429</v>
      </c>
    </row>
    <row r="6" spans="1:7" x14ac:dyDescent="0.35">
      <c r="A6" s="14" t="str">
        <f>'05_Monthly Aggregation - Trips'!A6</f>
        <v>May</v>
      </c>
      <c r="B6" s="21">
        <f>'05_Monthly Aggregation - Trips'!B6</f>
        <v>7700</v>
      </c>
      <c r="C6" s="21">
        <f>'05_Monthly Aggregation - Trips'!C6</f>
        <v>5600</v>
      </c>
      <c r="D6" s="21">
        <f>'05_Monthly Aggregation - Trips'!D6</f>
        <v>360</v>
      </c>
      <c r="E6" s="21">
        <f>'05_Monthly Aggregation - Trips'!E6</f>
        <v>10</v>
      </c>
      <c r="F6" s="21">
        <f>'06_Monthly Estimate - Commuting'!D6</f>
        <v>186914</v>
      </c>
      <c r="G6" s="21">
        <f>'06_Monthly Estimate - Commuting'!F6</f>
        <v>110616.45833333333</v>
      </c>
    </row>
    <row r="7" spans="1:7" x14ac:dyDescent="0.35">
      <c r="A7" s="14" t="str">
        <f>'05_Monthly Aggregation - Trips'!A7</f>
        <v>Jun</v>
      </c>
      <c r="B7" s="21">
        <f>'05_Monthly Aggregation - Trips'!B7</f>
        <v>6600</v>
      </c>
      <c r="C7" s="21">
        <f>'05_Monthly Aggregation - Trips'!C7</f>
        <v>5420</v>
      </c>
      <c r="D7" s="21">
        <f>'05_Monthly Aggregation - Trips'!D7</f>
        <v>1560</v>
      </c>
      <c r="E7" s="21">
        <f>'05_Monthly Aggregation - Trips'!E7</f>
        <v>10</v>
      </c>
      <c r="F7" s="21">
        <f>'06_Monthly Estimate - Commuting'!D7</f>
        <v>133510</v>
      </c>
      <c r="G7" s="21">
        <f>'06_Monthly Estimate - Commuting'!F7</f>
        <v>79011.755952380961</v>
      </c>
    </row>
    <row r="8" spans="1:7" x14ac:dyDescent="0.35">
      <c r="A8" s="14" t="str">
        <f>'05_Monthly Aggregation - Trips'!A8</f>
        <v>Jul</v>
      </c>
      <c r="B8" s="21">
        <f>'05_Monthly Aggregation - Trips'!B8</f>
        <v>2600</v>
      </c>
      <c r="C8" s="21">
        <f>'05_Monthly Aggregation - Trips'!C8</f>
        <v>4680</v>
      </c>
      <c r="D8" s="21">
        <f>'05_Monthly Aggregation - Trips'!D8</f>
        <v>0</v>
      </c>
      <c r="E8" s="21">
        <f>'05_Monthly Aggregation - Trips'!E8</f>
        <v>2</v>
      </c>
      <c r="F8" s="21">
        <f>'06_Monthly Estimate - Commuting'!D8</f>
        <v>42723.199999999997</v>
      </c>
      <c r="G8" s="21">
        <f>'06_Monthly Estimate - Commuting'!F8</f>
        <v>25283.761904761905</v>
      </c>
    </row>
    <row r="9" spans="1:7" x14ac:dyDescent="0.35">
      <c r="A9" s="14" t="str">
        <f>'05_Monthly Aggregation - Trips'!A9</f>
        <v>Aug</v>
      </c>
      <c r="B9" s="21">
        <f>'05_Monthly Aggregation - Trips'!B9</f>
        <v>0</v>
      </c>
      <c r="C9" s="21">
        <f>'05_Monthly Aggregation - Trips'!C9</f>
        <v>2540</v>
      </c>
      <c r="D9" s="21">
        <f>'05_Monthly Aggregation - Trips'!D9</f>
        <v>0</v>
      </c>
      <c r="E9" s="21">
        <f>'05_Monthly Aggregation - Trips'!E9</f>
        <v>5</v>
      </c>
      <c r="F9" s="21">
        <f>'06_Monthly Estimate - Commuting'!D9</f>
        <v>32042.399999999998</v>
      </c>
      <c r="G9" s="21">
        <f>'06_Monthly Estimate - Commuting'!F9</f>
        <v>18962.821428571428</v>
      </c>
    </row>
    <row r="10" spans="1:7" x14ac:dyDescent="0.35">
      <c r="A10" s="14" t="str">
        <f>'05_Monthly Aggregation - Trips'!A10</f>
        <v>Sep</v>
      </c>
      <c r="B10" s="21">
        <f>'05_Monthly Aggregation - Trips'!B10</f>
        <v>6240</v>
      </c>
      <c r="C10" s="21">
        <f>'05_Monthly Aggregation - Trips'!C10</f>
        <v>1280</v>
      </c>
      <c r="D10" s="21">
        <f>'05_Monthly Aggregation - Trips'!D10</f>
        <v>900</v>
      </c>
      <c r="E10" s="21">
        <f>'05_Monthly Aggregation - Trips'!E10</f>
        <v>9</v>
      </c>
      <c r="F10" s="21">
        <f>'06_Monthly Estimate - Commuting'!D10</f>
        <v>149531.19999999998</v>
      </c>
      <c r="G10" s="21">
        <f>'06_Monthly Estimate - Commuting'!F10</f>
        <v>88493.166666666672</v>
      </c>
    </row>
    <row r="11" spans="1:7" x14ac:dyDescent="0.35">
      <c r="A11" s="14" t="str">
        <f>'05_Monthly Aggregation - Trips'!A11</f>
        <v>Oct</v>
      </c>
      <c r="B11" s="21">
        <f>'05_Monthly Aggregation - Trips'!B11</f>
        <v>9060</v>
      </c>
      <c r="C11" s="21">
        <f>'05_Monthly Aggregation - Trips'!C11</f>
        <v>2960</v>
      </c>
      <c r="D11" s="21">
        <f>'05_Monthly Aggregation - Trips'!D11</f>
        <v>300</v>
      </c>
      <c r="E11" s="21">
        <f>'05_Monthly Aggregation - Trips'!E11</f>
        <v>6</v>
      </c>
      <c r="F11" s="21">
        <f>'06_Monthly Estimate - Commuting'!D11</f>
        <v>202935.2</v>
      </c>
      <c r="G11" s="21">
        <f>'06_Monthly Estimate - Commuting'!F11</f>
        <v>120097.86904761904</v>
      </c>
    </row>
    <row r="12" spans="1:7" x14ac:dyDescent="0.35">
      <c r="A12" s="14" t="str">
        <f>'05_Monthly Aggregation - Trips'!A12</f>
        <v>Nov</v>
      </c>
      <c r="B12" s="21">
        <f>'05_Monthly Aggregation - Trips'!B12</f>
        <v>1900</v>
      </c>
      <c r="C12" s="21">
        <f>'05_Monthly Aggregation - Trips'!C12</f>
        <v>2720</v>
      </c>
      <c r="D12" s="21">
        <f>'05_Monthly Aggregation - Trips'!D12</f>
        <v>300</v>
      </c>
      <c r="E12" s="21">
        <f>'05_Monthly Aggregation - Trips'!E12</f>
        <v>5</v>
      </c>
      <c r="F12" s="21">
        <f>'06_Monthly Estimate - Commuting'!D12</f>
        <v>218956.4</v>
      </c>
      <c r="G12" s="21">
        <f>'06_Monthly Estimate - Commuting'!F12</f>
        <v>129579.27976190476</v>
      </c>
    </row>
    <row r="13" spans="1:7" x14ac:dyDescent="0.35">
      <c r="A13" s="14" t="str">
        <f>'05_Monthly Aggregation - Trips'!A13</f>
        <v>Dec</v>
      </c>
      <c r="B13" s="21">
        <f>'05_Monthly Aggregation - Trips'!B13</f>
        <v>5020</v>
      </c>
      <c r="C13" s="21">
        <f>'05_Monthly Aggregation - Trips'!C13</f>
        <v>4700</v>
      </c>
      <c r="D13" s="21">
        <f>'05_Monthly Aggregation - Trips'!D13</f>
        <v>660</v>
      </c>
      <c r="E13" s="21">
        <f>'05_Monthly Aggregation - Trips'!E13</f>
        <v>7</v>
      </c>
      <c r="F13" s="21">
        <f>'06_Monthly Estimate - Commuting'!D13</f>
        <v>229637.19999999998</v>
      </c>
      <c r="G13" s="21">
        <f>'06_Monthly Estimate - Commuting'!F13</f>
        <v>135900.22023809524</v>
      </c>
    </row>
    <row r="15" spans="1:7" x14ac:dyDescent="0.35">
      <c r="A15" s="16" t="s">
        <v>170</v>
      </c>
    </row>
  </sheetData>
  <pageMargins left="0.75" right="0.75" top="1" bottom="1" header="0.511811023622047" footer="0.511811023622047"/>
  <pageSetup fitToHeight="0" orientation="landscape" horizontalDpi="300" verticalDpi="300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pageSetUpPr fitToPage="1"/>
  </sheetPr>
  <dimension ref="A1:D8"/>
  <sheetViews>
    <sheetView zoomScaleNormal="100" workbookViewId="0"/>
  </sheetViews>
  <sheetFormatPr defaultColWidth="8.6328125" defaultRowHeight="14.5" x14ac:dyDescent="0.35"/>
  <cols>
    <col min="1" max="2" width="26" customWidth="1"/>
    <col min="3" max="3" width="18" customWidth="1"/>
    <col min="4" max="4" width="50" customWidth="1"/>
  </cols>
  <sheetData>
    <row r="1" spans="1:4" x14ac:dyDescent="0.35">
      <c r="A1" s="12" t="s">
        <v>171</v>
      </c>
      <c r="B1" s="12" t="s">
        <v>172</v>
      </c>
      <c r="C1" s="12" t="s">
        <v>173</v>
      </c>
      <c r="D1" s="12" t="s">
        <v>25</v>
      </c>
    </row>
    <row r="2" spans="1:4" x14ac:dyDescent="0.35">
      <c r="A2" s="17" t="s">
        <v>174</v>
      </c>
      <c r="B2" s="17" t="s">
        <v>175</v>
      </c>
      <c r="C2" s="17">
        <v>0.18</v>
      </c>
      <c r="D2" s="17" t="s">
        <v>176</v>
      </c>
    </row>
    <row r="3" spans="1:4" x14ac:dyDescent="0.35">
      <c r="A3" s="17" t="s">
        <v>177</v>
      </c>
      <c r="B3" s="17" t="s">
        <v>175</v>
      </c>
      <c r="C3" s="17">
        <v>0.04</v>
      </c>
      <c r="D3" s="17" t="s">
        <v>178</v>
      </c>
    </row>
    <row r="4" spans="1:4" x14ac:dyDescent="0.35">
      <c r="A4" s="17" t="s">
        <v>179</v>
      </c>
      <c r="B4" s="17" t="s">
        <v>175</v>
      </c>
      <c r="C4" s="17">
        <v>0.18</v>
      </c>
      <c r="D4" s="17" t="s">
        <v>178</v>
      </c>
    </row>
    <row r="5" spans="1:4" x14ac:dyDescent="0.35">
      <c r="A5" s="17" t="s">
        <v>180</v>
      </c>
      <c r="B5" s="17" t="s">
        <v>181</v>
      </c>
      <c r="C5" s="17">
        <v>18</v>
      </c>
      <c r="D5" s="17" t="s">
        <v>178</v>
      </c>
    </row>
    <row r="6" spans="1:4" x14ac:dyDescent="0.35">
      <c r="A6" s="17" t="s">
        <v>182</v>
      </c>
      <c r="B6" s="17" t="s">
        <v>183</v>
      </c>
      <c r="C6" s="17">
        <v>0.17</v>
      </c>
      <c r="D6" s="17" t="s">
        <v>184</v>
      </c>
    </row>
    <row r="7" spans="1:4" x14ac:dyDescent="0.35">
      <c r="A7" s="17" t="s">
        <v>185</v>
      </c>
      <c r="B7" s="17" t="s">
        <v>183</v>
      </c>
      <c r="C7" s="17">
        <v>0.05</v>
      </c>
      <c r="D7" s="17" t="s">
        <v>186</v>
      </c>
    </row>
    <row r="8" spans="1:4" x14ac:dyDescent="0.35">
      <c r="A8" s="22" t="s">
        <v>187</v>
      </c>
      <c r="D8" s="23" t="s">
        <v>188</v>
      </c>
    </row>
  </sheetData>
  <pageMargins left="0.75" right="0.75" top="1" bottom="1" header="0.511811023622047" footer="0.511811023622047"/>
  <pageSetup fitToHeight="0" orientation="landscape" horizontalDpi="300" verticalDpi="300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pageSetUpPr fitToPage="1"/>
  </sheetPr>
  <dimension ref="A1:P45"/>
  <sheetViews>
    <sheetView zoomScaleNormal="100" workbookViewId="0">
      <selection activeCell="F3" sqref="F3"/>
    </sheetView>
  </sheetViews>
  <sheetFormatPr defaultColWidth="8.6328125" defaultRowHeight="14.5" x14ac:dyDescent="0.35"/>
  <cols>
    <col min="1" max="1" width="22" customWidth="1"/>
    <col min="2" max="9" width="16" customWidth="1"/>
    <col min="10" max="10" width="22" customWidth="1"/>
  </cols>
  <sheetData>
    <row r="1" spans="1:4" ht="20" x14ac:dyDescent="0.4">
      <c r="A1" s="8" t="s">
        <v>189</v>
      </c>
    </row>
    <row r="2" spans="1:4" x14ac:dyDescent="0.35">
      <c r="A2" s="9" t="s">
        <v>190</v>
      </c>
    </row>
    <row r="4" spans="1:4" ht="39" x14ac:dyDescent="0.35">
      <c r="A4" s="12" t="s">
        <v>69</v>
      </c>
      <c r="B4" s="12" t="s">
        <v>191</v>
      </c>
      <c r="C4" s="12" t="s">
        <v>192</v>
      </c>
      <c r="D4" s="12" t="s">
        <v>193</v>
      </c>
    </row>
    <row r="5" spans="1:4" x14ac:dyDescent="0.35">
      <c r="A5" s="14" t="str">
        <f>'07_Combined Travel Activity'!A2</f>
        <v>Jan</v>
      </c>
      <c r="B5" s="19">
        <f>('07_Combined Travel Activity'!B2*'08_Emission Factors'!$C$2+'07_Combined Travel Activity'!C2*'08_Emission Factors'!$C$3+'07_Combined Travel Activity'!D2*'08_Emission Factors'!$C$4+'07_Combined Travel Activity'!E2*'08_Emission Factors'!$C$5)/1000</f>
        <v>1.3135999999999999</v>
      </c>
      <c r="C5" s="19">
        <f>('07_Combined Travel Activity'!F2*'08_Emission Factors'!$C$6+'07_Combined Travel Activity'!G2*'08_Emission Factors'!$C$7)/1000</f>
        <v>44.767443500000006</v>
      </c>
      <c r="D5" s="19">
        <f t="shared" ref="D5:D16" si="0">B5+C5</f>
        <v>46.081043500000007</v>
      </c>
    </row>
    <row r="6" spans="1:4" x14ac:dyDescent="0.35">
      <c r="A6" s="14" t="str">
        <f>'07_Combined Travel Activity'!A3</f>
        <v>Feb</v>
      </c>
      <c r="B6" s="19">
        <f>('07_Combined Travel Activity'!B3*'08_Emission Factors'!$C$2+'07_Combined Travel Activity'!C3*'08_Emission Factors'!$C$3+'07_Combined Travel Activity'!D3*'08_Emission Factors'!$C$4+'07_Combined Travel Activity'!E3*'08_Emission Factors'!$C$5)/1000</f>
        <v>1.6847999999999999</v>
      </c>
      <c r="C6" s="19">
        <f>('07_Combined Travel Activity'!F3*'08_Emission Factors'!$C$6+'07_Combined Travel Activity'!G3*'08_Emission Factors'!$C$7)/1000</f>
        <v>44.767443500000006</v>
      </c>
      <c r="D6" s="19">
        <f t="shared" si="0"/>
        <v>46.452243500000009</v>
      </c>
    </row>
    <row r="7" spans="1:4" x14ac:dyDescent="0.35">
      <c r="A7" s="14" t="str">
        <f>'07_Combined Travel Activity'!A4</f>
        <v>Mar</v>
      </c>
      <c r="B7" s="19">
        <f>('07_Combined Travel Activity'!B4*'08_Emission Factors'!$C$2+'07_Combined Travel Activity'!C4*'08_Emission Factors'!$C$3+'07_Combined Travel Activity'!D4*'08_Emission Factors'!$C$4+'07_Combined Travel Activity'!E4*'08_Emission Factors'!$C$5)/1000</f>
        <v>2.4335999999999998</v>
      </c>
      <c r="C7" s="19">
        <f>('07_Combined Travel Activity'!F4*'08_Emission Factors'!$C$6+'07_Combined Travel Activity'!G4*'08_Emission Factors'!$C$7)/1000</f>
        <v>43.70155198809524</v>
      </c>
      <c r="D7" s="19">
        <f t="shared" si="0"/>
        <v>46.135151988095238</v>
      </c>
    </row>
    <row r="8" spans="1:4" x14ac:dyDescent="0.35">
      <c r="A8" s="14" t="str">
        <f>'07_Combined Travel Activity'!A5</f>
        <v>Apr</v>
      </c>
      <c r="B8" s="19">
        <f>('07_Combined Travel Activity'!B5*'08_Emission Factors'!$C$2+'07_Combined Travel Activity'!C5*'08_Emission Factors'!$C$3+'07_Combined Travel Activity'!D5*'08_Emission Factors'!$C$4+'07_Combined Travel Activity'!E5*'08_Emission Factors'!$C$5)/1000</f>
        <v>0.46160000000000001</v>
      </c>
      <c r="C8" s="19">
        <f>('07_Combined Travel Activity'!F5*'08_Emission Factors'!$C$6+'07_Combined Travel Activity'!G5*'08_Emission Factors'!$C$7)/1000</f>
        <v>41.569768964285721</v>
      </c>
      <c r="D8" s="19">
        <f t="shared" si="0"/>
        <v>42.031368964285718</v>
      </c>
    </row>
    <row r="9" spans="1:4" x14ac:dyDescent="0.35">
      <c r="A9" s="14" t="str">
        <f>'07_Combined Travel Activity'!A6</f>
        <v>May</v>
      </c>
      <c r="B9" s="19">
        <f>('07_Combined Travel Activity'!B6*'08_Emission Factors'!$C$2+'07_Combined Travel Activity'!C6*'08_Emission Factors'!$C$3+'07_Combined Travel Activity'!D6*'08_Emission Factors'!$C$4+'07_Combined Travel Activity'!E6*'08_Emission Factors'!$C$5)/1000</f>
        <v>1.8548</v>
      </c>
      <c r="C9" s="19">
        <f>('07_Combined Travel Activity'!F6*'08_Emission Factors'!$C$6+'07_Combined Travel Activity'!G6*'08_Emission Factors'!$C$7)/1000</f>
        <v>37.30620291666667</v>
      </c>
      <c r="D9" s="19">
        <f t="shared" si="0"/>
        <v>39.161002916666668</v>
      </c>
    </row>
    <row r="10" spans="1:4" x14ac:dyDescent="0.35">
      <c r="A10" s="14" t="str">
        <f>'07_Combined Travel Activity'!A7</f>
        <v>Jun</v>
      </c>
      <c r="B10" s="19">
        <f>('07_Combined Travel Activity'!B7*'08_Emission Factors'!$C$2+'07_Combined Travel Activity'!C7*'08_Emission Factors'!$C$3+'07_Combined Travel Activity'!D7*'08_Emission Factors'!$C$4+'07_Combined Travel Activity'!E7*'08_Emission Factors'!$C$5)/1000</f>
        <v>1.8655999999999999</v>
      </c>
      <c r="C10" s="19">
        <f>('07_Combined Travel Activity'!F7*'08_Emission Factors'!$C$6+'07_Combined Travel Activity'!G7*'08_Emission Factors'!$C$7)/1000</f>
        <v>26.64728779761905</v>
      </c>
      <c r="D10" s="19">
        <f t="shared" si="0"/>
        <v>28.512887797619051</v>
      </c>
    </row>
    <row r="11" spans="1:4" x14ac:dyDescent="0.35">
      <c r="A11" s="14" t="str">
        <f>'07_Combined Travel Activity'!A8</f>
        <v>Jul</v>
      </c>
      <c r="B11" s="19">
        <f>('07_Combined Travel Activity'!B8*'08_Emission Factors'!$C$2+'07_Combined Travel Activity'!C8*'08_Emission Factors'!$C$3+'07_Combined Travel Activity'!D8*'08_Emission Factors'!$C$4+'07_Combined Travel Activity'!E8*'08_Emission Factors'!$C$5)/1000</f>
        <v>0.69120000000000004</v>
      </c>
      <c r="C11" s="19">
        <f>('07_Combined Travel Activity'!F8*'08_Emission Factors'!$C$6+'07_Combined Travel Activity'!G8*'08_Emission Factors'!$C$7)/1000</f>
        <v>8.5271320952380965</v>
      </c>
      <c r="D11" s="19">
        <f t="shared" si="0"/>
        <v>9.2183320952380967</v>
      </c>
    </row>
    <row r="12" spans="1:4" x14ac:dyDescent="0.35">
      <c r="A12" s="14" t="str">
        <f>'07_Combined Travel Activity'!A9</f>
        <v>Aug</v>
      </c>
      <c r="B12" s="19">
        <f>('07_Combined Travel Activity'!B9*'08_Emission Factors'!$C$2+'07_Combined Travel Activity'!C9*'08_Emission Factors'!$C$3+'07_Combined Travel Activity'!D9*'08_Emission Factors'!$C$4+'07_Combined Travel Activity'!E9*'08_Emission Factors'!$C$5)/1000</f>
        <v>0.19160000000000002</v>
      </c>
      <c r="C12" s="19">
        <f>('07_Combined Travel Activity'!F9*'08_Emission Factors'!$C$6+'07_Combined Travel Activity'!G9*'08_Emission Factors'!$C$7)/1000</f>
        <v>6.395349071428571</v>
      </c>
      <c r="D12" s="19">
        <f t="shared" si="0"/>
        <v>6.5869490714285712</v>
      </c>
    </row>
    <row r="13" spans="1:4" x14ac:dyDescent="0.35">
      <c r="A13" s="14" t="str">
        <f>'07_Combined Travel Activity'!A10</f>
        <v>Sep</v>
      </c>
      <c r="B13" s="19">
        <f>('07_Combined Travel Activity'!B10*'08_Emission Factors'!$C$2+'07_Combined Travel Activity'!C10*'08_Emission Factors'!$C$3+'07_Combined Travel Activity'!D10*'08_Emission Factors'!$C$4+'07_Combined Travel Activity'!E10*'08_Emission Factors'!$C$5)/1000</f>
        <v>1.4984000000000002</v>
      </c>
      <c r="C13" s="19">
        <f>('07_Combined Travel Activity'!F10*'08_Emission Factors'!$C$6+'07_Combined Travel Activity'!G10*'08_Emission Factors'!$C$7)/1000</f>
        <v>29.844962333333331</v>
      </c>
      <c r="D13" s="19">
        <f t="shared" si="0"/>
        <v>31.343362333333332</v>
      </c>
    </row>
    <row r="14" spans="1:4" x14ac:dyDescent="0.35">
      <c r="A14" s="14" t="str">
        <f>'07_Combined Travel Activity'!A11</f>
        <v>Oct</v>
      </c>
      <c r="B14" s="19">
        <f>('07_Combined Travel Activity'!B11*'08_Emission Factors'!$C$2+'07_Combined Travel Activity'!C11*'08_Emission Factors'!$C$3+'07_Combined Travel Activity'!D11*'08_Emission Factors'!$C$4+'07_Combined Travel Activity'!E11*'08_Emission Factors'!$C$5)/1000</f>
        <v>1.9112</v>
      </c>
      <c r="C14" s="19">
        <f>('07_Combined Travel Activity'!F11*'08_Emission Factors'!$C$6+'07_Combined Travel Activity'!G11*'08_Emission Factors'!$C$7)/1000</f>
        <v>40.503877452380955</v>
      </c>
      <c r="D14" s="19">
        <f t="shared" si="0"/>
        <v>42.415077452380956</v>
      </c>
    </row>
    <row r="15" spans="1:4" x14ac:dyDescent="0.35">
      <c r="A15" s="14" t="str">
        <f>'07_Combined Travel Activity'!A12</f>
        <v>Nov</v>
      </c>
      <c r="B15" s="19">
        <f>('07_Combined Travel Activity'!B12*'08_Emission Factors'!$C$2+'07_Combined Travel Activity'!C12*'08_Emission Factors'!$C$3+'07_Combined Travel Activity'!D12*'08_Emission Factors'!$C$4+'07_Combined Travel Activity'!E12*'08_Emission Factors'!$C$5)/1000</f>
        <v>0.5948</v>
      </c>
      <c r="C15" s="19">
        <f>('07_Combined Travel Activity'!F12*'08_Emission Factors'!$C$6+'07_Combined Travel Activity'!G12*'08_Emission Factors'!$C$7)/1000</f>
        <v>43.70155198809524</v>
      </c>
      <c r="D15" s="19">
        <f t="shared" si="0"/>
        <v>44.296351988095239</v>
      </c>
    </row>
    <row r="16" spans="1:4" x14ac:dyDescent="0.35">
      <c r="A16" s="14" t="str">
        <f>'07_Combined Travel Activity'!A13</f>
        <v>Dec</v>
      </c>
      <c r="B16" s="19">
        <f>('07_Combined Travel Activity'!B13*'08_Emission Factors'!$C$2+'07_Combined Travel Activity'!C13*'08_Emission Factors'!$C$3+'07_Combined Travel Activity'!D13*'08_Emission Factors'!$C$4+'07_Combined Travel Activity'!E13*'08_Emission Factors'!$C$5)/1000</f>
        <v>1.3363999999999998</v>
      </c>
      <c r="C16" s="19">
        <f>('07_Combined Travel Activity'!F13*'08_Emission Factors'!$C$6+'07_Combined Travel Activity'!G13*'08_Emission Factors'!$C$7)/1000</f>
        <v>45.833335011904758</v>
      </c>
      <c r="D16" s="19">
        <f t="shared" si="0"/>
        <v>47.169735011904756</v>
      </c>
    </row>
    <row r="19" spans="1:16" ht="27.75" customHeight="1" x14ac:dyDescent="0.35">
      <c r="A19" s="2" t="s">
        <v>194</v>
      </c>
      <c r="B19" s="2"/>
      <c r="C19" s="2" t="s">
        <v>195</v>
      </c>
      <c r="D19" s="2"/>
      <c r="E19" s="2" t="s">
        <v>196</v>
      </c>
      <c r="F19" s="2"/>
      <c r="G19" s="2" t="s">
        <v>197</v>
      </c>
      <c r="H19" s="2"/>
    </row>
    <row r="20" spans="1:16" ht="23" x14ac:dyDescent="0.5">
      <c r="A20" s="24">
        <f>SUM(B5:B16)</f>
        <v>15.837599999999997</v>
      </c>
      <c r="B20" s="25"/>
      <c r="C20" s="24">
        <f>SUM(C5:C16)</f>
        <v>413.56590661904761</v>
      </c>
      <c r="D20" s="25"/>
      <c r="E20" s="26">
        <f>SUM(C5:C16)/SUM(D5:D16)</f>
        <v>0.96311720850931326</v>
      </c>
      <c r="F20" s="25"/>
      <c r="G20" s="24">
        <f>SUM(D5:D16)</f>
        <v>429.40350661904768</v>
      </c>
      <c r="H20" s="25"/>
    </row>
    <row r="21" spans="1:16" x14ac:dyDescent="0.35">
      <c r="A21" s="25"/>
      <c r="B21" s="25"/>
      <c r="C21" s="25"/>
      <c r="D21" s="25"/>
      <c r="E21" s="25"/>
      <c r="F21" s="25"/>
      <c r="G21" s="25"/>
      <c r="H21" s="25"/>
    </row>
    <row r="24" spans="1:16" ht="15.5" x14ac:dyDescent="0.35">
      <c r="J24" s="10" t="s">
        <v>198</v>
      </c>
    </row>
    <row r="25" spans="1:16" ht="60" customHeight="1" x14ac:dyDescent="0.35">
      <c r="J25" s="1" t="str">
        <f>"Commuting accounts for "&amp;TEXT(SUM(C5:C16)/SUM(D5:D16),"0.0%")&amp;" of total travel emissions in this illustrative model — often the larger, less-visible category next to booked business travel."</f>
        <v>Commuting accounts for 96.3% of total travel emissions in this illustrative model — often the larger, less-visible category next to booked business travel.</v>
      </c>
      <c r="K25" s="1"/>
      <c r="L25" s="1"/>
      <c r="M25" s="1"/>
      <c r="N25" s="1"/>
      <c r="O25" s="1"/>
      <c r="P25" s="1"/>
    </row>
    <row r="26" spans="1:16" x14ac:dyDescent="0.35">
      <c r="J26" s="1"/>
      <c r="K26" s="1"/>
      <c r="L26" s="1"/>
      <c r="M26" s="1"/>
      <c r="N26" s="1"/>
      <c r="O26" s="1"/>
      <c r="P26" s="1"/>
    </row>
    <row r="27" spans="1:16" x14ac:dyDescent="0.35">
      <c r="J27" s="1"/>
      <c r="K27" s="1"/>
      <c r="L27" s="1"/>
      <c r="M27" s="1"/>
      <c r="N27" s="1"/>
      <c r="O27" s="1"/>
      <c r="P27" s="1"/>
    </row>
    <row r="28" spans="1:16" x14ac:dyDescent="0.35">
      <c r="J28" s="1"/>
      <c r="K28" s="1"/>
      <c r="L28" s="1"/>
      <c r="M28" s="1"/>
      <c r="N28" s="1"/>
      <c r="O28" s="1"/>
      <c r="P28" s="1"/>
    </row>
    <row r="41" spans="1:8" ht="15.5" x14ac:dyDescent="0.35">
      <c r="A41" s="10" t="s">
        <v>199</v>
      </c>
    </row>
    <row r="42" spans="1:8" x14ac:dyDescent="0.35">
      <c r="A42" s="7" t="s">
        <v>200</v>
      </c>
      <c r="B42" s="7"/>
      <c r="C42" s="7"/>
      <c r="D42" s="7"/>
      <c r="E42" s="7"/>
      <c r="F42" s="7"/>
      <c r="G42" s="7"/>
      <c r="H42" s="7"/>
    </row>
    <row r="43" spans="1:8" x14ac:dyDescent="0.35">
      <c r="A43" s="7" t="s">
        <v>201</v>
      </c>
      <c r="B43" s="7"/>
      <c r="C43" s="7"/>
      <c r="D43" s="7"/>
      <c r="E43" s="7"/>
      <c r="F43" s="7"/>
      <c r="G43" s="7"/>
      <c r="H43" s="7"/>
    </row>
    <row r="44" spans="1:8" x14ac:dyDescent="0.35">
      <c r="A44" s="7" t="s">
        <v>202</v>
      </c>
      <c r="B44" s="7"/>
      <c r="C44" s="7"/>
      <c r="D44" s="7"/>
      <c r="E44" s="7"/>
      <c r="F44" s="7"/>
      <c r="G44" s="7"/>
      <c r="H44" s="7"/>
    </row>
    <row r="45" spans="1:8" x14ac:dyDescent="0.35">
      <c r="A45" s="7" t="s">
        <v>203</v>
      </c>
      <c r="B45" s="7"/>
      <c r="C45" s="7"/>
      <c r="D45" s="7"/>
      <c r="E45" s="7"/>
      <c r="F45" s="7"/>
      <c r="G45" s="7"/>
      <c r="H45" s="7"/>
    </row>
  </sheetData>
  <mergeCells count="9">
    <mergeCell ref="A42:H42"/>
    <mergeCell ref="A43:H43"/>
    <mergeCell ref="A44:H44"/>
    <mergeCell ref="A45:H45"/>
    <mergeCell ref="A19:B19"/>
    <mergeCell ref="C19:D19"/>
    <mergeCell ref="E19:F19"/>
    <mergeCell ref="G19:H19"/>
    <mergeCell ref="J25:P28"/>
  </mergeCells>
  <pageMargins left="0.75" right="0.75" top="1" bottom="1" header="0.511811023622047" footer="0.511811023622047"/>
  <pageSetup fitToHeight="0" orientation="landscape" horizontalDpi="300" verticalDpi="300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pageSetUpPr fitToPage="1"/>
  </sheetPr>
  <dimension ref="H1:I5"/>
  <sheetViews>
    <sheetView showGridLines="0" zoomScaleNormal="100" workbookViewId="0"/>
  </sheetViews>
  <sheetFormatPr defaultColWidth="8.6328125" defaultRowHeight="14.5" x14ac:dyDescent="0.35"/>
  <sheetData>
    <row r="1" spans="8:9" x14ac:dyDescent="0.35">
      <c r="H1" t="s">
        <v>46</v>
      </c>
      <c r="I1" t="s">
        <v>204</v>
      </c>
    </row>
    <row r="2" spans="8:9" x14ac:dyDescent="0.35">
      <c r="H2" t="s">
        <v>78</v>
      </c>
      <c r="I2" s="27">
        <f>SUM('05_Monthly Aggregation - Trips'!B2:B13)*'08_Emission Factors'!$C$2/1000</f>
        <v>11.883599999999999</v>
      </c>
    </row>
    <row r="3" spans="8:9" x14ac:dyDescent="0.35">
      <c r="H3" t="s">
        <v>85</v>
      </c>
      <c r="I3" s="27">
        <f>SUM('05_Monthly Aggregation - Trips'!C2:C13)*'08_Emission Factors'!$C$3/1000</f>
        <v>1.5528</v>
      </c>
    </row>
    <row r="4" spans="8:9" x14ac:dyDescent="0.35">
      <c r="H4" t="s">
        <v>99</v>
      </c>
      <c r="I4" s="27">
        <f>SUM('05_Monthly Aggregation - Trips'!D2:D13)*'08_Emission Factors'!$C$4/1000</f>
        <v>0.96119999999999994</v>
      </c>
    </row>
    <row r="5" spans="8:9" x14ac:dyDescent="0.35">
      <c r="H5" t="s">
        <v>180</v>
      </c>
      <c r="I5" s="27">
        <f>SUM('05_Monthly Aggregation - Trips'!E2:E13)*'08_Emission Factors'!$C$5/1000</f>
        <v>1.44</v>
      </c>
    </row>
  </sheetData>
  <pageMargins left="0.75" right="0.75" top="1" bottom="1" header="0.511811023622047" footer="0.511811023622047"/>
  <pageSetup fitToHeight="0" orientation="landscape" horizontalDpi="300" verticalDpi="300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>
    <pageSetUpPr fitToPage="1"/>
  </sheetPr>
  <dimension ref="H1:I3"/>
  <sheetViews>
    <sheetView showGridLines="0" tabSelected="1" zoomScaleNormal="100" workbookViewId="0"/>
  </sheetViews>
  <sheetFormatPr defaultColWidth="8.6328125" defaultRowHeight="14.5" x14ac:dyDescent="0.35"/>
  <sheetData>
    <row r="1" spans="8:9" x14ac:dyDescent="0.35">
      <c r="H1" t="s">
        <v>205</v>
      </c>
      <c r="I1" t="s">
        <v>206</v>
      </c>
    </row>
    <row r="2" spans="8:9" x14ac:dyDescent="0.35">
      <c r="H2" t="s">
        <v>207</v>
      </c>
      <c r="I2" s="27">
        <f>'09_KPIs &amp; Dashboard'!A20</f>
        <v>15.837599999999997</v>
      </c>
    </row>
    <row r="3" spans="8:9" x14ac:dyDescent="0.35">
      <c r="H3" t="s">
        <v>208</v>
      </c>
      <c r="I3" s="27">
        <f>'09_KPIs &amp; Dashboard'!C20</f>
        <v>413.56590661904761</v>
      </c>
    </row>
  </sheetData>
  <pageMargins left="0.75" right="0.75" top="1" bottom="1" header="0.511811023622047" footer="0.511811023622047"/>
  <pageSetup fitToHeight="0" orientation="landscape" horizontalDpi="300" verticalDpi="300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00_Overview</vt:lpstr>
      <vt:lpstr>01_Commuting Questionnaire</vt:lpstr>
      <vt:lpstr>02_Commuting Survey Responses</vt:lpstr>
      <vt:lpstr>03_Commuting Assumptions</vt:lpstr>
      <vt:lpstr>04_Business Trip Bookings (Raw)</vt:lpstr>
      <vt:lpstr>05_Monthly Aggregation - Trips</vt:lpstr>
      <vt:lpstr>06_Monthly Estimate - Commuting</vt:lpstr>
      <vt:lpstr>07_Combined Travel Activity</vt:lpstr>
      <vt:lpstr>08_Emission Factors</vt:lpstr>
      <vt:lpstr>09_KPIs &amp; Dashboard</vt:lpstr>
      <vt:lpstr>10_Chart - Biz Mode Share</vt:lpstr>
      <vt:lpstr>11_Chart - Annual Biz v Commute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Jumoke Oladejo</dc:creator>
  <dc:description/>
  <cp:lastModifiedBy>Jumoke Oladejo</cp:lastModifiedBy>
  <cp:revision>1</cp:revision>
  <dcterms:created xsi:type="dcterms:W3CDTF">2026-10-04T19:18:15Z</dcterms:created>
  <dcterms:modified xsi:type="dcterms:W3CDTF">2026-10-04T19:37:12Z</dcterms:modified>
  <dc:language>en-US</dc:language>
</cp:coreProperties>
</file>
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ummie\Documents\Energy Manager Role\Illustrative Project\"/>
    </mc:Choice>
  </mc:AlternateContent>
  <xr:revisionPtr revIDLastSave="0" documentId="13_ncr:1_{002FE53C-1AA2-4CC7-9CE0-8320088DA2E7}" xr6:coauthVersionLast="47" xr6:coauthVersionMax="47" xr10:uidLastSave="{00000000-0000-0000-0000-000000000000}"/>
  <bookViews>
    <workbookView xWindow="-110" yWindow="-110" windowWidth="22780" windowHeight="14540" tabRatio="500" xr2:uid="{00000000-000D-0000-FFFF-FFFF00000000}"/>
  </bookViews>
  <sheets>
    <sheet name="00_Client View" sheetId="1" r:id="rId1"/>
    <sheet name="01_Raw Data" sheetId="2" r:id="rId2"/>
    <sheet name="02_Clean Data" sheetId="3" r:id="rId3"/>
    <sheet name="03_Emission Factors" sheetId="4" r:id="rId4"/>
    <sheet name="04_Calculations" sheetId="5" r:id="rId5"/>
    <sheet name="05_KPIs" sheetId="6" r:id="rId6"/>
    <sheet name="06_Dashboard" sheetId="7" r:id="rId7"/>
    <sheet name="07_Client Input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1" i="7" l="1"/>
  <c r="J30" i="7"/>
  <c r="C13" i="5"/>
  <c r="E13" i="5" s="1"/>
  <c r="B13" i="5"/>
  <c r="A13" i="5"/>
  <c r="D12" i="5"/>
  <c r="A12" i="5"/>
  <c r="C9" i="5"/>
  <c r="B9" i="5"/>
  <c r="F9" i="5" s="1"/>
  <c r="A9" i="5"/>
  <c r="D8" i="5"/>
  <c r="A8" i="5"/>
  <c r="C5" i="5"/>
  <c r="B5" i="5"/>
  <c r="F5" i="5" s="1"/>
  <c r="A5" i="5"/>
  <c r="D4" i="5"/>
  <c r="A4" i="5"/>
  <c r="H3" i="5"/>
  <c r="H2" i="5"/>
  <c r="G2" i="5"/>
  <c r="E13" i="3"/>
  <c r="F13" i="3" s="1"/>
  <c r="D13" i="3"/>
  <c r="C13" i="3"/>
  <c r="B13" i="3"/>
  <c r="D13" i="5" s="1"/>
  <c r="A13" i="3"/>
  <c r="E12" i="3"/>
  <c r="D12" i="3"/>
  <c r="C12" i="3"/>
  <c r="B12" i="3"/>
  <c r="A12" i="3"/>
  <c r="E11" i="3"/>
  <c r="D11" i="3"/>
  <c r="C11" i="3"/>
  <c r="C11" i="5" s="1"/>
  <c r="B11" i="3"/>
  <c r="A11" i="3"/>
  <c r="A11" i="5" s="1"/>
  <c r="E10" i="3"/>
  <c r="D10" i="3"/>
  <c r="C10" i="3"/>
  <c r="C10" i="5" s="1"/>
  <c r="B10" i="3"/>
  <c r="A10" i="3"/>
  <c r="A10" i="5" s="1"/>
  <c r="E9" i="3"/>
  <c r="F9" i="3" s="1"/>
  <c r="D9" i="3"/>
  <c r="C9" i="3"/>
  <c r="B9" i="3"/>
  <c r="D9" i="5" s="1"/>
  <c r="A9" i="3"/>
  <c r="E8" i="3"/>
  <c r="D8" i="3"/>
  <c r="C8" i="3"/>
  <c r="B8" i="3"/>
  <c r="A8" i="3"/>
  <c r="E7" i="3"/>
  <c r="D7" i="3"/>
  <c r="C7" i="3"/>
  <c r="C7" i="5" s="1"/>
  <c r="B7" i="3"/>
  <c r="A7" i="3"/>
  <c r="A7" i="5" s="1"/>
  <c r="E6" i="3"/>
  <c r="D6" i="3"/>
  <c r="C6" i="3"/>
  <c r="C6" i="5" s="1"/>
  <c r="B6" i="3"/>
  <c r="A6" i="3"/>
  <c r="A6" i="5" s="1"/>
  <c r="E5" i="3"/>
  <c r="F5" i="3" s="1"/>
  <c r="D5" i="3"/>
  <c r="C5" i="3"/>
  <c r="B5" i="3"/>
  <c r="D5" i="5" s="1"/>
  <c r="A5" i="3"/>
  <c r="E4" i="3"/>
  <c r="D4" i="3"/>
  <c r="C4" i="3"/>
  <c r="B8" i="6" s="1"/>
  <c r="G5" i="7" s="1"/>
  <c r="B4" i="3"/>
  <c r="A4" i="3"/>
  <c r="E3" i="3"/>
  <c r="D3" i="3"/>
  <c r="C3" i="3"/>
  <c r="C3" i="5" s="1"/>
  <c r="B3" i="3"/>
  <c r="A3" i="3"/>
  <c r="A3" i="5" s="1"/>
  <c r="E2" i="3"/>
  <c r="D2" i="3"/>
  <c r="C2" i="3"/>
  <c r="C2" i="5" s="1"/>
  <c r="B2" i="3"/>
  <c r="A2" i="3"/>
  <c r="A2" i="5" s="1"/>
  <c r="B4" i="6" l="1"/>
  <c r="F13" i="5"/>
  <c r="C8" i="5"/>
  <c r="E8" i="5" s="1"/>
  <c r="B8" i="5"/>
  <c r="F8" i="3"/>
  <c r="F10" i="3"/>
  <c r="D3" i="5"/>
  <c r="E3" i="5" s="1"/>
  <c r="F3" i="3"/>
  <c r="B3" i="5"/>
  <c r="B2" i="6"/>
  <c r="F6" i="3"/>
  <c r="C12" i="5"/>
  <c r="E12" i="5" s="1"/>
  <c r="B12" i="5"/>
  <c r="F12" i="3"/>
  <c r="E9" i="5"/>
  <c r="D11" i="5"/>
  <c r="F11" i="3"/>
  <c r="B11" i="5"/>
  <c r="F2" i="3"/>
  <c r="E11" i="5"/>
  <c r="E5" i="5"/>
  <c r="D7" i="5"/>
  <c r="E7" i="5" s="1"/>
  <c r="F7" i="3"/>
  <c r="B7" i="5"/>
  <c r="C4" i="5"/>
  <c r="E4" i="5" s="1"/>
  <c r="B4" i="5"/>
  <c r="F4" i="3"/>
  <c r="B9" i="6"/>
  <c r="E10" i="5"/>
  <c r="B2" i="5"/>
  <c r="B6" i="5"/>
  <c r="B10" i="5"/>
  <c r="B3" i="6"/>
  <c r="D2" i="5"/>
  <c r="E2" i="5" s="1"/>
  <c r="B6" i="6" s="1"/>
  <c r="D6" i="5"/>
  <c r="E6" i="5" s="1"/>
  <c r="D10" i="5"/>
  <c r="C5" i="7" l="1"/>
  <c r="B11" i="6"/>
  <c r="J32" i="7" s="1"/>
  <c r="F4" i="5"/>
  <c r="H6" i="5" s="1"/>
  <c r="G5" i="5"/>
  <c r="G4" i="5"/>
  <c r="F10" i="5"/>
  <c r="G10" i="5"/>
  <c r="F11" i="5"/>
  <c r="H13" i="5" s="1"/>
  <c r="G11" i="5"/>
  <c r="F6" i="5"/>
  <c r="G6" i="5"/>
  <c r="F7" i="5"/>
  <c r="G7" i="5"/>
  <c r="F8" i="5"/>
  <c r="H10" i="5" s="1"/>
  <c r="G8" i="5"/>
  <c r="G9" i="5"/>
  <c r="F2" i="5"/>
  <c r="B5" i="6"/>
  <c r="B10" i="6"/>
  <c r="F3" i="5"/>
  <c r="H5" i="5" s="1"/>
  <c r="G3" i="5"/>
  <c r="J27" i="7"/>
  <c r="F12" i="5"/>
  <c r="G13" i="5"/>
  <c r="G12" i="5"/>
  <c r="H12" i="5" l="1"/>
  <c r="H11" i="5"/>
  <c r="H9" i="5"/>
  <c r="B7" i="6"/>
  <c r="E5" i="7" s="1"/>
  <c r="A5" i="7"/>
  <c r="H8" i="5"/>
  <c r="H7" i="5"/>
  <c r="H4" i="5"/>
</calcChain>
</file>

<file path=xl/sharedStrings.xml><?xml version="1.0" encoding="utf-8"?>
<sst xmlns="http://schemas.openxmlformats.org/spreadsheetml/2006/main" count="130" uniqueCount="115">
  <si>
    <t>Manufacturing Energy &amp; Carbon Analysis</t>
  </si>
  <si>
    <t>Purpose</t>
  </si>
  <si>
    <t>Demonstrate how fragmented sustainability data can become clean, transparent KPIs and management reporting.</t>
  </si>
  <si>
    <t>Key findings</t>
  </si>
  <si>
    <t>• Production output and total energy show a weak/negative correlation, indicating fixed loads (heating, baseload electricity) dominate over throughput.</t>
  </si>
  <si>
    <t>• Next step: sub-meter process, building/HVAC and fleet loads separately so seasonal swings can be attributed with confidence.</t>
  </si>
  <si>
    <t>Month</t>
  </si>
  <si>
    <t>Electricity (kWh)</t>
  </si>
  <si>
    <t>Natural gas (kWh)</t>
  </si>
  <si>
    <t>Diesel (L)</t>
  </si>
  <si>
    <t>Production units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</si>
  <si>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</si>
  <si>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</si>
  <si>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</si>
  <si>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</si>
  <si>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</si>
  <si>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</si>
  <si>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</si>
  <si>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</si>
  <si>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</si>
  <si>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</si>
  <si>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</si>
  <si>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</si>
  <si>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illustrative synthetic data (utility bills / production log exports).</t>
  </si>
  <si>
    <t>Data-quality flag</t>
  </si>
  <si>
    <t>Clean Data is linked live to Raw Data (traceable, not retyped). Flag column auto-screens for missing values and statistical outliers.</t>
  </si>
  <si>
    <t>Activity</t>
  </si>
  <si>
    <t>Unit</t>
  </si>
  <si>
    <t>Illustrative factor</t>
  </si>
  <si>
    <t>Notes</t>
  </si>
  <si>
    <t>Electricity</t>
  </si>
  <si>
    <t>kgCO2e/kWh</t>
  </si>
  <si>
    <t>Illustrative Scope 2 screening factor</t>
  </si>
  <si>
    <t>Natural gas</t>
  </si>
  <si>
    <t>Illustrative Scope 1 screening factor</t>
  </si>
  <si>
    <t>Diesel</t>
  </si>
  <si>
    <t>kgCO2e/L</t>
  </si>
  <si>
    <t>Diesel energy</t>
  </si>
  <si>
    <t>kWh/L</t>
  </si>
  <si>
    <t>Illustrative energy conversion</t>
  </si>
  <si>
    <t>Important</t>
  </si>
  <si>
    <t>Replace illustrative factors with the agreed methodology/source factors for real client work.</t>
  </si>
  <si>
    <t>Total energy (kWh)</t>
  </si>
  <si>
    <t>Total (tCO2e)</t>
  </si>
  <si>
    <t>Energy intensity (kWh/unit)</t>
  </si>
  <si>
    <t>MoM energy change (%)</t>
  </si>
  <si>
    <t>3-mo rolling intensity</t>
  </si>
  <si>
    <t>KPI</t>
  </si>
  <si>
    <t>Value</t>
  </si>
  <si>
    <t>Interpretation</t>
  </si>
  <si>
    <t>Annual electricity</t>
  </si>
  <si>
    <t>kWh</t>
  </si>
  <si>
    <t>Track baseload and major electrical loads.</t>
  </si>
  <si>
    <t>Annual natural gas</t>
  </si>
  <si>
    <t>Strong seasonal pattern; review thermal/process use.</t>
  </si>
  <si>
    <t>Annual diesel</t>
  </si>
  <si>
    <t>L</t>
  </si>
  <si>
    <t>Reconcile with fleet/equipment activity.</t>
  </si>
  <si>
    <t>Total annual energy</t>
  </si>
  <si>
    <t>Combined electricity, gas and diesel energy basis.</t>
  </si>
  <si>
    <t>Total annual emissions</t>
  </si>
  <si>
    <t>tCO2e</t>
  </si>
  <si>
    <t>Illustrative Scope 1 + 2 screening.</t>
  </si>
  <si>
    <t>Energy intensity (annual)</t>
  </si>
  <si>
    <t>kWh/unit</t>
  </si>
  <si>
    <t>Normalises energy against production.</t>
  </si>
  <si>
    <t>Gas seasonal swing</t>
  </si>
  <si>
    <t>x (peak/trough)</t>
  </si>
  <si>
    <t>Ratio of highest to lowest month; flags heating/process seasonality.</t>
  </si>
  <si>
    <t>Peak gas month</t>
  </si>
  <si>
    <t>month</t>
  </si>
  <si>
    <t>Highest natural-gas month in the year.</t>
  </si>
  <si>
    <t>Production–energy correlation</t>
  </si>
  <si>
    <t>r</t>
  </si>
  <si>
    <t>Low/negative r means energy is driven more by weather/fixed loads than output.</t>
  </si>
  <si>
    <t>Emissions per production unit</t>
  </si>
  <si>
    <t>kgCO2e/unit</t>
  </si>
  <si>
    <t>Carbon intensity of output, for benchmarking over time.</t>
  </si>
  <si>
    <t>TOTAL ANNUAL ENERGY (kWh)</t>
  </si>
  <si>
    <t>TOTAL ANNUAL EMISSIONS (tCO2e)</t>
  </si>
  <si>
    <t>ENERGY INTENSITY (kWh/unit)</t>
  </si>
  <si>
    <t>GAS SEASONAL SWING (peak/trough)</t>
  </si>
  <si>
    <t>Data-quality flags</t>
  </si>
  <si>
    <t>Key insights</t>
  </si>
  <si>
    <t>Areas to investigate</t>
  </si>
  <si>
    <t>• Separate process, building/HVAC and fleet loads to explain the weak production–energy correlation.</t>
  </si>
  <si>
    <t>• Review electricity baseload and operating schedules (electricity barely varies while output does).</t>
  </si>
  <si>
    <t>• Create a repeatable monthly data template with named ownership for ongoing tracking.</t>
  </si>
  <si>
    <t>Input needed</t>
  </si>
  <si>
    <t>Example / format</t>
  </si>
  <si>
    <t>Why it matters</t>
  </si>
  <si>
    <t>Status</t>
  </si>
  <si>
    <t>Source files</t>
  </si>
  <si>
    <t>Excel/CSV/PDF bills/exports</t>
  </si>
  <si>
    <t>Traceability and reconciliation</t>
  </si>
  <si>
    <t>To be supplied</t>
  </si>
  <si>
    <t>Reporting period</t>
  </si>
  <si>
    <t>e.g. Jan–Dec 2026</t>
  </si>
  <si>
    <t>Defines analysis boundary</t>
  </si>
  <si>
    <t>Activity data</t>
  </si>
  <si>
    <t>Production, area, occupancy, travel etc.</t>
  </si>
  <si>
    <t>Enables intensity KPIs</t>
  </si>
  <si>
    <t>Methodology / factors</t>
  </si>
  <si>
    <t>Client or agreed methodology</t>
  </si>
  <si>
    <t>Makes calculations reproducible</t>
  </si>
  <si>
    <t>To be agreed</t>
  </si>
  <si>
    <t>Known exclusions</t>
  </si>
  <si>
    <t>Missing sites, months or activities</t>
  </si>
  <si>
    <t>Prevents misleading completeness claims</t>
  </si>
  <si>
    <t>Illustrative management dashboard</t>
  </si>
  <si>
    <t>ILLUSTRATIVE PORTFOLIO SAMPLE: synthetic data for demonstration</t>
  </si>
  <si>
    <t>• Electricity is relatively stable (112,000–126,000 kWh/month) while natural gas swings 3.4x between trough and peak: a heating/process-driven seasonal signature.</t>
  </si>
  <si>
    <t>• Energy intensity ranges 24.8–41.2 kWh/unit across the year. It is worth investigating whether this reflects real efficiency loss in winter or just the fixed-load effect above.</t>
  </si>
  <si>
    <t>Scope 1 (gas+diesel) (tCO2e)</t>
  </si>
  <si>
    <t>Scope 2 (electricity) (tCO2e)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</si>
</sst>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#,##0.0"/>
    <numFmt numFmtId="167" formatCode="0.0\x"/>
  </numFmts>
  <fonts count="1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4E79"/>
      <name val="Arial"/>
      <family val="2"/>
    </font>
    <font>
      <i/>
      <sz val="10"/>
      <color rgb="FF666666"/>
      <name val="Arial"/>
      <family val="2"/>
    </font>
    <font>
      <b/>
      <sz val="12"/>
      <color rgb="FF1F4E79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i/>
      <sz val="8"/>
      <color rgb="FF888888"/>
      <name val="Arial"/>
      <family val="2"/>
    </font>
    <font>
      <b/>
      <sz val="10"/>
      <color rgb="FFC00000"/>
      <name val="Arial"/>
      <family val="2"/>
    </font>
    <font>
      <i/>
      <sz val="9"/>
      <name val="Arial"/>
      <family val="2"/>
    </font>
    <font>
      <sz val="9"/>
      <color rgb="FF666666"/>
      <name val="Arial"/>
      <family val="2"/>
    </font>
    <font>
      <b/>
      <sz val="18"/>
      <color rgb="FF1F4E7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9F9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0" xfId="0" applyFont="1" applyBorder="1" applyAlignment="1">
      <alignment wrapText="1"/>
    </xf>
    <xf numFmtId="0" fontId="5" fillId="0" borderId="0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3" fontId="7" fillId="0" borderId="1" xfId="0" applyNumberFormat="1" applyFont="1" applyBorder="1"/>
    <xf numFmtId="0" fontId="8" fillId="0" borderId="0" xfId="0" applyFont="1"/>
    <xf numFmtId="0" fontId="5" fillId="0" borderId="1" xfId="0" applyFont="1" applyBorder="1"/>
    <xf numFmtId="3" fontId="5" fillId="0" borderId="1" xfId="0" applyNumberFormat="1" applyFont="1" applyBorder="1"/>
    <xf numFmtId="0" fontId="9" fillId="0" borderId="0" xfId="0" applyFont="1"/>
    <xf numFmtId="0" fontId="10" fillId="0" borderId="0" xfId="0" applyFont="1"/>
    <xf numFmtId="164" fontId="5" fillId="0" borderId="1" xfId="0" applyNumberFormat="1" applyFont="1" applyBorder="1"/>
    <xf numFmtId="2" fontId="5" fillId="0" borderId="1" xfId="0" applyNumberFormat="1" applyFont="1" applyBorder="1"/>
    <xf numFmtId="165" fontId="5" fillId="0" borderId="1" xfId="0" applyNumberFormat="1" applyFont="1" applyBorder="1"/>
    <xf numFmtId="4" fontId="5" fillId="0" borderId="1" xfId="0" applyNumberFormat="1" applyFont="1" applyBorder="1"/>
    <xf numFmtId="0" fontId="11" fillId="3" borderId="1" xfId="0" applyFont="1" applyFill="1" applyBorder="1"/>
    <xf numFmtId="3" fontId="12" fillId="3" borderId="1" xfId="0" applyNumberFormat="1" applyFont="1" applyFill="1" applyBorder="1"/>
    <xf numFmtId="166" fontId="12" fillId="3" borderId="1" xfId="0" applyNumberFormat="1" applyFont="1" applyFill="1" applyBorder="1"/>
    <xf numFmtId="2" fontId="12" fillId="3" borderId="1" xfId="0" applyNumberFormat="1" applyFont="1" applyFill="1" applyBorder="1"/>
    <xf numFmtId="167" fontId="12" fillId="3" borderId="1" xfId="0" applyNumberFormat="1" applyFont="1" applyFill="1" applyBorder="1"/>
    <xf numFmtId="0" fontId="0" fillId="3" borderId="1" xfId="0" applyFill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888888"/>
      <rgbColor rgb="FF003366"/>
      <rgbColor rgb="FF4F81BD"/>
      <rgbColor rgb="FF003300"/>
      <rgbColor rgb="FF333300"/>
      <rgbColor rgb="FF993300"/>
      <rgbColor rgb="FFC0504D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electricity &amp; natural gas (kWh)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'02_Clean Data'!$B$1</c:f>
              <c:strCache>
                <c:ptCount val="1"/>
                <c:pt idx="0">
                  <c:v>Electricity (kWh)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'04_Calculations'!$A$2:$A$13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'02_Clean Data'!$B$2:$B$13</c:f>
              <c:numCache>
                <c:formatCode>#,##0</c:formatCode>
                <c:ptCount val="12"/>
                <c:pt idx="0">
                  <c:v>118000</c:v>
                </c:pt>
                <c:pt idx="1">
                  <c:v>112000</c:v>
                </c:pt>
                <c:pt idx="2">
                  <c:v>121000</c:v>
                </c:pt>
                <c:pt idx="3">
                  <c:v>116000</c:v>
                </c:pt>
                <c:pt idx="4">
                  <c:v>119000</c:v>
                </c:pt>
                <c:pt idx="5">
                  <c:v>123000</c:v>
                </c:pt>
                <c:pt idx="6">
                  <c:v>126000</c:v>
                </c:pt>
                <c:pt idx="7">
                  <c:v>125000</c:v>
                </c:pt>
                <c:pt idx="8">
                  <c:v>120000</c:v>
                </c:pt>
                <c:pt idx="9">
                  <c:v>117000</c:v>
                </c:pt>
                <c:pt idx="10">
                  <c:v>115000</c:v>
                </c:pt>
                <c:pt idx="11">
                  <c:v>122000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AE-4521-904C-882E7347DC5E}"/>
            </c:ext>
          </c:extLst>
        </c:ser>
        <c:ser>
          <c:idx val="1"/>
          <c:order val="1"/>
          <c:tx>
            <c:strRef>
              <c:f>'02_Clean Data'!$C$1</c:f>
              <c:strCache>
                <c:ptCount val="1"/>
                <c:pt idx="0">
                  <c:v>Natural gas (kWh)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'04_Calculations'!$A$2:$A$13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'02_Clean Data'!$C$2:$C$13</c:f>
              <c:numCache>
                <c:formatCode>#,##0</c:formatCode>
                <c:ptCount val="12"/>
                <c:pt idx="0">
                  <c:v>205000</c:v>
                </c:pt>
                <c:pt idx="1">
                  <c:v>190000</c:v>
                </c:pt>
                <c:pt idx="2">
                  <c:v>168000</c:v>
                </c:pt>
                <c:pt idx="3">
                  <c:v>132000</c:v>
                </c:pt>
                <c:pt idx="4">
                  <c:v>98000</c:v>
                </c:pt>
                <c:pt idx="5">
                  <c:v>72000</c:v>
                </c:pt>
                <c:pt idx="6">
                  <c:v>61000</c:v>
                </c:pt>
                <c:pt idx="7">
                  <c:v>65000</c:v>
                </c:pt>
                <c:pt idx="8">
                  <c:v>88000</c:v>
                </c:pt>
                <c:pt idx="9">
                  <c:v>129000</c:v>
                </c:pt>
                <c:pt idx="10">
                  <c:v>165000</c:v>
                </c:pt>
                <c:pt idx="11">
                  <c:v>198000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AE-4521-904C-882E7347D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5741334"/>
        <c:axId val="49857845"/>
      </c:lineChart>
      <c:catAx>
        <c:axId val="257413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857845"/>
        <c:crosses val="autoZero"/>
        <c:auto val="1"/>
        <c:lblAlgn val="ctr"/>
        <c:lblOffset val="100"/>
        <c:noMultiLvlLbl val="0"/>
      </c:catAx>
      <c:valAx>
        <c:axId val="498578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7413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Scope 1 vs Scope 2 emissions by month (tCO2e)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'04_Calculations'!$C$1</c:f>
              <c:strCache>
                <c:ptCount val="1"/>
                <c:pt idx="0">
                  <c:v>Scope 1 (gas+diesel) (tCO2e)</c:v>
                </c:pt>
              </c:strCache>
            </c:strRef>
          </c:tx>
          <c:spPr>
            <a:solidFill>
              <a:schemeClr val="accent1">
                <a:shade val="76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'04_Calculations'!$A$2:$A$13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'04_Calculations'!$C$2:$C$13</c:f>
              <c:numCache>
                <c:formatCode>0.0</c:formatCode>
                <c:ptCount val="12"/>
                <c:pt idx="0">
                  <c:v>63.386000000000003</c:v>
                </c:pt>
                <c:pt idx="1">
                  <c:v>59.552</c:v>
                </c:pt>
                <c:pt idx="2">
                  <c:v>56.448</c:v>
                </c:pt>
                <c:pt idx="3">
                  <c:v>48.372</c:v>
                </c:pt>
                <c:pt idx="4">
                  <c:v>41.235999999999997</c:v>
                </c:pt>
                <c:pt idx="5">
                  <c:v>36.787999999999997</c:v>
                </c:pt>
                <c:pt idx="6">
                  <c:v>35.101999999999997</c:v>
                </c:pt>
                <c:pt idx="7">
                  <c:v>36.177999999999997</c:v>
                </c:pt>
                <c:pt idx="8">
                  <c:v>39.752000000000002</c:v>
                </c:pt>
                <c:pt idx="9">
                  <c:v>47.765999999999998</c:v>
                </c:pt>
                <c:pt idx="10">
                  <c:v>54.502000000000002</c:v>
                </c:pt>
                <c:pt idx="11">
                  <c:v>62.24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1-475F-88DF-F03F431B8162}"/>
            </c:ext>
          </c:extLst>
        </c:ser>
        <c:ser>
          <c:idx val="1"/>
          <c:order val="1"/>
          <c:tx>
            <c:strRef>
              <c:f>'04_Calculations'!$D$1</c:f>
              <c:strCache>
                <c:ptCount val="1"/>
                <c:pt idx="0">
                  <c:v>Scope 2 (electricity) (tCO2e)</c:v>
                </c:pt>
              </c:strCache>
            </c:strRef>
          </c:tx>
          <c:spPr>
            <a:solidFill>
              <a:schemeClr val="accent1">
                <a:tint val="77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'04_Calculations'!$A$2:$A$13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'04_Calculations'!$D$2:$D$13</c:f>
              <c:numCache>
                <c:formatCode>0.0</c:formatCode>
                <c:ptCount val="12"/>
                <c:pt idx="0">
                  <c:v>41.3</c:v>
                </c:pt>
                <c:pt idx="1">
                  <c:v>39.200000000000003</c:v>
                </c:pt>
                <c:pt idx="2">
                  <c:v>42.35</c:v>
                </c:pt>
                <c:pt idx="3">
                  <c:v>40.6</c:v>
                </c:pt>
                <c:pt idx="4">
                  <c:v>41.65</c:v>
                </c:pt>
                <c:pt idx="5">
                  <c:v>43.05</c:v>
                </c:pt>
                <c:pt idx="6">
                  <c:v>44.1</c:v>
                </c:pt>
                <c:pt idx="7">
                  <c:v>43.75</c:v>
                </c:pt>
                <c:pt idx="8">
                  <c:v>42</c:v>
                </c:pt>
                <c:pt idx="9">
                  <c:v>40.950000000000003</c:v>
                </c:pt>
                <c:pt idx="10">
                  <c:v>40.25</c:v>
                </c:pt>
                <c:pt idx="11">
                  <c:v>42.7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91-475F-88DF-F03F431B8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3789769"/>
        <c:axId val="11759710"/>
      </c:barChart>
      <c:catAx>
        <c:axId val="13789769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9710"/>
        <c:crosses val="autoZero"/>
        <c:auto val="1"/>
        <c:lblAlgn val="ctr"/>
        <c:lblOffset val="100"/>
        <c:noMultiLvlLbl val="0"/>
      </c:catAx>
      <c:valAx>
        <c:axId val="1175971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tCO2e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976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Energy intensity trend (kWh/unit)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'04_Calculations'!$F$1</c:f>
              <c:strCache>
                <c:ptCount val="1"/>
                <c:pt idx="0">
                  <c:v>Energy intensity (kWh/unit)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'04_Calculations'!$A$2:$A$13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'04_Calculations'!$F$2:$F$13</c:f>
              <c:numCache>
                <c:formatCode>0.00</c:formatCode>
                <c:ptCount val="12"/>
                <c:pt idx="0">
                  <c:v>41.159183673469386</c:v>
                </c:pt>
                <c:pt idx="1">
                  <c:v>39.938947368421054</c:v>
                </c:pt>
                <c:pt idx="2">
                  <c:v>36.403921568627453</c:v>
                </c:pt>
                <c:pt idx="3">
                  <c:v>32.738</c:v>
                </c:pt>
                <c:pt idx="4">
                  <c:v>28.403846153846153</c:v>
                </c:pt>
                <c:pt idx="5">
                  <c:v>25.826168224299064</c:v>
                </c:pt>
                <c:pt idx="6">
                  <c:v>24.798165137614678</c:v>
                </c:pt>
                <c:pt idx="7">
                  <c:v>25.396296296296295</c:v>
                </c:pt>
                <c:pt idx="8">
                  <c:v>28.550495049504949</c:v>
                </c:pt>
                <c:pt idx="9">
                  <c:v>32.866666666666667</c:v>
                </c:pt>
                <c:pt idx="10">
                  <c:v>36.847422680412372</c:v>
                </c:pt>
                <c:pt idx="11">
                  <c:v>38.965048543689321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9-49F0-BDD1-168EA2D8B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0165189"/>
        <c:axId val="21252182"/>
      </c:lineChart>
      <c:catAx>
        <c:axId val="701651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252182"/>
        <c:crosses val="autoZero"/>
        <c:auto val="1"/>
        <c:lblAlgn val="ctr"/>
        <c:lblOffset val="100"/>
        <c:noMultiLvlLbl val="0"/>
      </c:catAx>
      <c:valAx>
        <c:axId val="212521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kWh/unit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1651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41040</xdr:rowOff>
    </xdr:from>
    <xdr:to>
      <xdr:col>5</xdr:col>
      <xdr:colOff>840960</xdr:colOff>
      <xdr:row>22</xdr:row>
      <xdr:rowOff>63360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552450</xdr:colOff>
      <xdr:row>7</xdr:row>
      <xdr:rowOff>53740</xdr:rowOff>
    </xdr:from>
    <xdr:to>
      <xdr:col>14</xdr:col>
      <xdr:colOff>266700</xdr:colOff>
      <xdr:row>23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63500</xdr:colOff>
      <xdr:row>23</xdr:row>
      <xdr:rowOff>104540</xdr:rowOff>
    </xdr:from>
    <xdr:to>
      <xdr:col>5</xdr:col>
      <xdr:colOff>904460</xdr:colOff>
      <xdr:row>35</xdr:row>
      <xdr:rowOff>126860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Normal="100" workbookViewId="0">
      <selection activeCell="C17" sqref="C17"/>
    </sheetView>
  </sheetViews>
  <sheetFormatPr defaultColWidth="8.6328125" defaultRowHeight="14.5" x14ac:dyDescent="0.35"/>
  <cols>
    <col min="1" max="1" width="14" customWidth="1"/>
    <col min="2" max="3" width="20" customWidth="1"/>
    <col min="4" max="8" width="14" customWidth="1"/>
  </cols>
  <sheetData>
    <row r="1" spans="1:8" ht="20" x14ac:dyDescent="0.4">
      <c r="A1" s="3" t="s">
        <v>0</v>
      </c>
    </row>
    <row r="2" spans="1:8" x14ac:dyDescent="0.35">
      <c r="A2" s="4" t="s">
        <v>110</v>
      </c>
    </row>
    <row r="4" spans="1:8" ht="15.5" x14ac:dyDescent="0.35">
      <c r="A4" s="5" t="s">
        <v>1</v>
      </c>
      <c r="B4" s="6" t="s">
        <v>2</v>
      </c>
    </row>
    <row r="6" spans="1:8" ht="15.5" x14ac:dyDescent="0.35">
      <c r="A6" s="5" t="s">
        <v>3</v>
      </c>
    </row>
    <row r="7" spans="1:8" ht="27.75" customHeight="1" x14ac:dyDescent="0.35">
      <c r="A7" s="25" t="s">
        <v>111</v>
      </c>
      <c r="B7" s="2"/>
      <c r="C7" s="2"/>
      <c r="D7" s="2"/>
      <c r="E7" s="2"/>
      <c r="F7" s="2"/>
      <c r="G7" s="2"/>
      <c r="H7" s="2"/>
    </row>
    <row r="8" spans="1:8" ht="27.75" customHeight="1" x14ac:dyDescent="0.35">
      <c r="A8" s="2" t="s">
        <v>4</v>
      </c>
      <c r="B8" s="2"/>
      <c r="C8" s="2"/>
      <c r="D8" s="2"/>
      <c r="E8" s="2"/>
      <c r="F8" s="2"/>
      <c r="G8" s="2"/>
      <c r="H8" s="2"/>
    </row>
    <row r="9" spans="1:8" ht="27.75" customHeight="1" x14ac:dyDescent="0.35">
      <c r="A9" s="25" t="s">
        <v>112</v>
      </c>
      <c r="B9" s="2"/>
      <c r="C9" s="2"/>
      <c r="D9" s="2"/>
      <c r="E9" s="2"/>
      <c r="F9" s="2"/>
      <c r="G9" s="2"/>
      <c r="H9" s="2"/>
    </row>
    <row r="10" spans="1:8" ht="27.75" customHeight="1" x14ac:dyDescent="0.35">
      <c r="A10" s="2" t="s">
        <v>5</v>
      </c>
      <c r="B10" s="2"/>
      <c r="C10" s="2"/>
      <c r="D10" s="2"/>
      <c r="E10" s="2"/>
      <c r="F10" s="2"/>
      <c r="G10" s="2"/>
      <c r="H10" s="2"/>
    </row>
  </sheetData>
  <mergeCells count="4">
    <mergeCell ref="A7:H7"/>
    <mergeCell ref="A8:H8"/>
    <mergeCell ref="A9:H9"/>
    <mergeCell ref="A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zoomScaleNormal="100" workbookViewId="0"/>
  </sheetViews>
  <sheetFormatPr defaultColWidth="8.6328125" defaultRowHeight="14.5" x14ac:dyDescent="0.35"/>
  <cols>
    <col min="1" max="1" width="10" customWidth="1"/>
    <col min="2" max="3" width="20" customWidth="1"/>
    <col min="4" max="4" width="14" customWidth="1"/>
    <col min="5" max="5" width="18" customWidth="1"/>
  </cols>
  <sheetData>
    <row r="1" spans="1:5" x14ac:dyDescent="0.35">
      <c r="A1" s="7" t="s">
        <v>6</v>
      </c>
      <c r="B1" s="7" t="s">
        <v>7</v>
      </c>
      <c r="C1" s="7" t="s">
        <v>8</v>
      </c>
      <c r="D1" s="7" t="s">
        <v>9</v>
      </c>
      <c r="E1" s="7" t="s">
        <v>10</v>
      </c>
    </row>
    <row r="2" spans="1:5" x14ac:dyDescent="0.35">
      <c r="A2" s="8" t="s">
        <v>11</v>
      </c>
      <c r="B2" s="9">
        <v>118000</v>
      </c>
      <c r="C2" s="9">
        <v>205000</v>
      </c>
      <c r="D2" s="9">
        <v>8200</v>
      </c>
      <c r="E2" s="9">
        <v>9800</v>
      </c>
    </row>
    <row r="3" spans="1:5" x14ac:dyDescent="0.35">
      <c r="A3" s="8" t="s">
        <v>12</v>
      </c>
      <c r="B3" s="9">
        <v>112000</v>
      </c>
      <c r="C3" s="9">
        <v>190000</v>
      </c>
      <c r="D3" s="9">
        <v>7900</v>
      </c>
      <c r="E3" s="9">
        <v>9500</v>
      </c>
    </row>
    <row r="4" spans="1:5" x14ac:dyDescent="0.35">
      <c r="A4" s="8" t="s">
        <v>13</v>
      </c>
      <c r="B4" s="9">
        <v>121000</v>
      </c>
      <c r="C4" s="9">
        <v>168000</v>
      </c>
      <c r="D4" s="9">
        <v>8400</v>
      </c>
      <c r="E4" s="9">
        <v>10200</v>
      </c>
    </row>
    <row r="5" spans="1:5" x14ac:dyDescent="0.35">
      <c r="A5" s="8" t="s">
        <v>14</v>
      </c>
      <c r="B5" s="9">
        <v>116000</v>
      </c>
      <c r="C5" s="9">
        <v>132000</v>
      </c>
      <c r="D5" s="9">
        <v>8100</v>
      </c>
      <c r="E5" s="9">
        <v>10000</v>
      </c>
    </row>
    <row r="6" spans="1:5" x14ac:dyDescent="0.35">
      <c r="A6" s="8" t="s">
        <v>15</v>
      </c>
      <c r="B6" s="9">
        <v>119000</v>
      </c>
      <c r="C6" s="9">
        <v>98000</v>
      </c>
      <c r="D6" s="9">
        <v>8000</v>
      </c>
      <c r="E6" s="9">
        <v>10400</v>
      </c>
    </row>
    <row r="7" spans="1:5" x14ac:dyDescent="0.35">
      <c r="A7" s="8" t="s">
        <v>16</v>
      </c>
      <c r="B7" s="9">
        <v>123000</v>
      </c>
      <c r="C7" s="9">
        <v>72000</v>
      </c>
      <c r="D7" s="9">
        <v>8300</v>
      </c>
      <c r="E7" s="9">
        <v>10700</v>
      </c>
    </row>
    <row r="8" spans="1:5" x14ac:dyDescent="0.35">
      <c r="A8" s="8" t="s">
        <v>17</v>
      </c>
      <c r="B8" s="9">
        <v>126000</v>
      </c>
      <c r="C8" s="9">
        <v>61000</v>
      </c>
      <c r="D8" s="9">
        <v>8500</v>
      </c>
      <c r="E8" s="9">
        <v>10900</v>
      </c>
    </row>
    <row r="9" spans="1:5" x14ac:dyDescent="0.35">
      <c r="A9" s="8" t="s">
        <v>18</v>
      </c>
      <c r="B9" s="9">
        <v>125000</v>
      </c>
      <c r="C9" s="9">
        <v>65000</v>
      </c>
      <c r="D9" s="9">
        <v>8600</v>
      </c>
      <c r="E9" s="9">
        <v>10800</v>
      </c>
    </row>
    <row r="10" spans="1:5" x14ac:dyDescent="0.35">
      <c r="A10" s="8" t="s">
        <v>19</v>
      </c>
      <c r="B10" s="9">
        <v>120000</v>
      </c>
      <c r="C10" s="9">
        <v>88000</v>
      </c>
      <c r="D10" s="9">
        <v>8200</v>
      </c>
      <c r="E10" s="9">
        <v>10100</v>
      </c>
    </row>
    <row r="11" spans="1:5" x14ac:dyDescent="0.35">
      <c r="A11" s="8" t="s">
        <v>20</v>
      </c>
      <c r="B11" s="9">
        <v>117000</v>
      </c>
      <c r="C11" s="9">
        <v>129000</v>
      </c>
      <c r="D11" s="9">
        <v>8100</v>
      </c>
      <c r="E11" s="9">
        <v>9900</v>
      </c>
    </row>
    <row r="12" spans="1:5" x14ac:dyDescent="0.35">
      <c r="A12" s="8" t="s">
        <v>21</v>
      </c>
      <c r="B12" s="9">
        <v>115000</v>
      </c>
      <c r="C12" s="9">
        <v>165000</v>
      </c>
      <c r="D12" s="9">
        <v>7900</v>
      </c>
      <c r="E12" s="9">
        <v>9700</v>
      </c>
    </row>
    <row r="13" spans="1:5" x14ac:dyDescent="0.35">
      <c r="A13" s="8" t="s">
        <v>22</v>
      </c>
      <c r="B13" s="9">
        <v>122000</v>
      </c>
      <c r="C13" s="9">
        <v>198000</v>
      </c>
      <c r="D13" s="9">
        <v>8300</v>
      </c>
      <c r="E13" s="9">
        <v>10300</v>
      </c>
    </row>
    <row r="15" spans="1:5" x14ac:dyDescent="0.35">
      <c r="A15" s="10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zoomScaleNormal="100" workbookViewId="0"/>
  </sheetViews>
  <sheetFormatPr defaultColWidth="8.6328125" defaultRowHeight="14.5" x14ac:dyDescent="0.35"/>
  <cols>
    <col min="1" max="1" width="10" customWidth="1"/>
    <col min="2" max="3" width="20" customWidth="1"/>
    <col min="4" max="4" width="14" customWidth="1"/>
    <col min="5" max="5" width="18" customWidth="1"/>
    <col min="6" max="6" width="26" customWidth="1"/>
  </cols>
  <sheetData>
    <row r="1" spans="1:6" x14ac:dyDescent="0.35">
      <c r="A1" s="7" t="s">
        <v>6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24</v>
      </c>
    </row>
    <row r="2" spans="1:6" x14ac:dyDescent="0.35">
      <c r="A2" s="11" t="str">
        <f>'01_Raw Data'!A2</f>
        <v>Jan</v>
      </c>
      <c r="B2" s="12">
        <f>'01_Raw Data'!B2</f>
        <v>118000</v>
      </c>
      <c r="C2" s="12">
        <f>'01_Raw Data'!C2</f>
        <v>205000</v>
      </c>
      <c r="D2" s="12">
        <f>'01_Raw Data'!D2</f>
        <v>8200</v>
      </c>
      <c r="E2" s="12">
        <f>'01_Raw Data'!E2</f>
        <v>9800</v>
      </c>
      <c r="F2" s="11" t="str">
        <f t="shared" ref="F2:F13" si="0">IF(OR(B2&lt;=0,C2&lt;=0,D2&lt;=0,E2&lt;=0),"Missing/zero value",IF(ABS(B2-AVERAGE($B$2:$B$13))&gt;2*STDEVP($B$2:$B$13),"Electricity outlier vs year",IF(ABS(C2-AVERAGE($C$2:$C$13))&gt;1.5*STDEVP($C$2:$C$13),"Gas: check vs weather/HDD","OK")))</f>
        <v>OK</v>
      </c>
    </row>
    <row r="3" spans="1:6" x14ac:dyDescent="0.35">
      <c r="A3" s="11" t="str">
        <f>'01_Raw Data'!A3</f>
        <v>Feb</v>
      </c>
      <c r="B3" s="12">
        <f>'01_Raw Data'!B3</f>
        <v>112000</v>
      </c>
      <c r="C3" s="12">
        <f>'01_Raw Data'!C3</f>
        <v>190000</v>
      </c>
      <c r="D3" s="12">
        <f>'01_Raw Data'!D3</f>
        <v>7900</v>
      </c>
      <c r="E3" s="12">
        <f>'01_Raw Data'!E3</f>
        <v>9500</v>
      </c>
      <c r="F3" s="11" t="str">
        <f t="shared" si="0"/>
        <v>OK</v>
      </c>
    </row>
    <row r="4" spans="1:6" x14ac:dyDescent="0.35">
      <c r="A4" s="11" t="str">
        <f>'01_Raw Data'!A4</f>
        <v>Mar</v>
      </c>
      <c r="B4" s="12">
        <f>'01_Raw Data'!B4</f>
        <v>121000</v>
      </c>
      <c r="C4" s="12">
        <f>'01_Raw Data'!C4</f>
        <v>168000</v>
      </c>
      <c r="D4" s="12">
        <f>'01_Raw Data'!D4</f>
        <v>8400</v>
      </c>
      <c r="E4" s="12">
        <f>'01_Raw Data'!E4</f>
        <v>10200</v>
      </c>
      <c r="F4" s="11" t="str">
        <f t="shared" si="0"/>
        <v>OK</v>
      </c>
    </row>
    <row r="5" spans="1:6" x14ac:dyDescent="0.35">
      <c r="A5" s="11" t="str">
        <f>'01_Raw Data'!A5</f>
        <v>Apr</v>
      </c>
      <c r="B5" s="12">
        <f>'01_Raw Data'!B5</f>
        <v>116000</v>
      </c>
      <c r="C5" s="12">
        <f>'01_Raw Data'!C5</f>
        <v>132000</v>
      </c>
      <c r="D5" s="12">
        <f>'01_Raw Data'!D5</f>
        <v>8100</v>
      </c>
      <c r="E5" s="12">
        <f>'01_Raw Data'!E5</f>
        <v>10000</v>
      </c>
      <c r="F5" s="11" t="str">
        <f t="shared" si="0"/>
        <v>OK</v>
      </c>
    </row>
    <row r="6" spans="1:6" x14ac:dyDescent="0.35">
      <c r="A6" s="11" t="str">
        <f>'01_Raw Data'!A6</f>
        <v>May</v>
      </c>
      <c r="B6" s="12">
        <f>'01_Raw Data'!B6</f>
        <v>119000</v>
      </c>
      <c r="C6" s="12">
        <f>'01_Raw Data'!C6</f>
        <v>98000</v>
      </c>
      <c r="D6" s="12">
        <f>'01_Raw Data'!D6</f>
        <v>8000</v>
      </c>
      <c r="E6" s="12">
        <f>'01_Raw Data'!E6</f>
        <v>10400</v>
      </c>
      <c r="F6" s="11" t="str">
        <f t="shared" si="0"/>
        <v>OK</v>
      </c>
    </row>
    <row r="7" spans="1:6" x14ac:dyDescent="0.35">
      <c r="A7" s="11" t="str">
        <f>'01_Raw Data'!A7</f>
        <v>Jun</v>
      </c>
      <c r="B7" s="12">
        <f>'01_Raw Data'!B7</f>
        <v>123000</v>
      </c>
      <c r="C7" s="12">
        <f>'01_Raw Data'!C7</f>
        <v>72000</v>
      </c>
      <c r="D7" s="12">
        <f>'01_Raw Data'!D7</f>
        <v>8300</v>
      </c>
      <c r="E7" s="12">
        <f>'01_Raw Data'!E7</f>
        <v>10700</v>
      </c>
      <c r="F7" s="11" t="str">
        <f t="shared" si="0"/>
        <v>OK</v>
      </c>
    </row>
    <row r="8" spans="1:6" x14ac:dyDescent="0.35">
      <c r="A8" s="11" t="str">
        <f>'01_Raw Data'!A8</f>
        <v>Jul</v>
      </c>
      <c r="B8" s="12">
        <f>'01_Raw Data'!B8</f>
        <v>126000</v>
      </c>
      <c r="C8" s="12">
        <f>'01_Raw Data'!C8</f>
        <v>61000</v>
      </c>
      <c r="D8" s="12">
        <f>'01_Raw Data'!D8</f>
        <v>8500</v>
      </c>
      <c r="E8" s="12">
        <f>'01_Raw Data'!E8</f>
        <v>10900</v>
      </c>
      <c r="F8" s="11" t="str">
        <f t="shared" si="0"/>
        <v>OK</v>
      </c>
    </row>
    <row r="9" spans="1:6" x14ac:dyDescent="0.35">
      <c r="A9" s="11" t="str">
        <f>'01_Raw Data'!A9</f>
        <v>Aug</v>
      </c>
      <c r="B9" s="12">
        <f>'01_Raw Data'!B9</f>
        <v>125000</v>
      </c>
      <c r="C9" s="12">
        <f>'01_Raw Data'!C9</f>
        <v>65000</v>
      </c>
      <c r="D9" s="12">
        <f>'01_Raw Data'!D9</f>
        <v>8600</v>
      </c>
      <c r="E9" s="12">
        <f>'01_Raw Data'!E9</f>
        <v>10800</v>
      </c>
      <c r="F9" s="11" t="str">
        <f t="shared" si="0"/>
        <v>OK</v>
      </c>
    </row>
    <row r="10" spans="1:6" x14ac:dyDescent="0.35">
      <c r="A10" s="11" t="str">
        <f>'01_Raw Data'!A10</f>
        <v>Sep</v>
      </c>
      <c r="B10" s="12">
        <f>'01_Raw Data'!B10</f>
        <v>120000</v>
      </c>
      <c r="C10" s="12">
        <f>'01_Raw Data'!C10</f>
        <v>88000</v>
      </c>
      <c r="D10" s="12">
        <f>'01_Raw Data'!D10</f>
        <v>8200</v>
      </c>
      <c r="E10" s="12">
        <f>'01_Raw Data'!E10</f>
        <v>10100</v>
      </c>
      <c r="F10" s="11" t="str">
        <f t="shared" si="0"/>
        <v>OK</v>
      </c>
    </row>
    <row r="11" spans="1:6" x14ac:dyDescent="0.35">
      <c r="A11" s="11" t="str">
        <f>'01_Raw Data'!A11</f>
        <v>Oct</v>
      </c>
      <c r="B11" s="12">
        <f>'01_Raw Data'!B11</f>
        <v>117000</v>
      </c>
      <c r="C11" s="12">
        <f>'01_Raw Data'!C11</f>
        <v>129000</v>
      </c>
      <c r="D11" s="12">
        <f>'01_Raw Data'!D11</f>
        <v>8100</v>
      </c>
      <c r="E11" s="12">
        <f>'01_Raw Data'!E11</f>
        <v>9900</v>
      </c>
      <c r="F11" s="11" t="str">
        <f t="shared" si="0"/>
        <v>OK</v>
      </c>
    </row>
    <row r="12" spans="1:6" x14ac:dyDescent="0.35">
      <c r="A12" s="11" t="str">
        <f>'01_Raw Data'!A12</f>
        <v>Nov</v>
      </c>
      <c r="B12" s="12">
        <f>'01_Raw Data'!B12</f>
        <v>115000</v>
      </c>
      <c r="C12" s="12">
        <f>'01_Raw Data'!C12</f>
        <v>165000</v>
      </c>
      <c r="D12" s="12">
        <f>'01_Raw Data'!D12</f>
        <v>7900</v>
      </c>
      <c r="E12" s="12">
        <f>'01_Raw Data'!E12</f>
        <v>9700</v>
      </c>
      <c r="F12" s="11" t="str">
        <f t="shared" si="0"/>
        <v>OK</v>
      </c>
    </row>
    <row r="13" spans="1:6" x14ac:dyDescent="0.35">
      <c r="A13" s="11" t="str">
        <f>'01_Raw Data'!A13</f>
        <v>Dec</v>
      </c>
      <c r="B13" s="12">
        <f>'01_Raw Data'!B13</f>
        <v>122000</v>
      </c>
      <c r="C13" s="12">
        <f>'01_Raw Data'!C13</f>
        <v>198000</v>
      </c>
      <c r="D13" s="12">
        <f>'01_Raw Data'!D13</f>
        <v>8300</v>
      </c>
      <c r="E13" s="12">
        <f>'01_Raw Data'!E13</f>
        <v>10300</v>
      </c>
      <c r="F13" s="11" t="str">
        <f t="shared" si="0"/>
        <v>OK</v>
      </c>
    </row>
    <row r="15" spans="1:6" x14ac:dyDescent="0.35">
      <c r="A15" s="10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zoomScaleNormal="100" workbookViewId="0"/>
  </sheetViews>
  <sheetFormatPr defaultColWidth="8.6328125" defaultRowHeight="14.5" x14ac:dyDescent="0.35"/>
  <cols>
    <col min="1" max="2" width="16" customWidth="1"/>
    <col min="3" max="3" width="18" customWidth="1"/>
    <col min="4" max="4" width="44" customWidth="1"/>
  </cols>
  <sheetData>
    <row r="1" spans="1:4" x14ac:dyDescent="0.35">
      <c r="A1" s="7" t="s">
        <v>26</v>
      </c>
      <c r="B1" s="7" t="s">
        <v>27</v>
      </c>
      <c r="C1" s="7" t="s">
        <v>28</v>
      </c>
      <c r="D1" s="7" t="s">
        <v>29</v>
      </c>
    </row>
    <row r="2" spans="1:4" x14ac:dyDescent="0.35">
      <c r="A2" s="8" t="s">
        <v>30</v>
      </c>
      <c r="B2" s="8" t="s">
        <v>31</v>
      </c>
      <c r="C2" s="8">
        <v>0.35</v>
      </c>
      <c r="D2" s="8" t="s">
        <v>32</v>
      </c>
    </row>
    <row r="3" spans="1:4" x14ac:dyDescent="0.35">
      <c r="A3" s="8" t="s">
        <v>33</v>
      </c>
      <c r="B3" s="8" t="s">
        <v>31</v>
      </c>
      <c r="C3" s="8">
        <v>0.20200000000000001</v>
      </c>
      <c r="D3" s="8" t="s">
        <v>34</v>
      </c>
    </row>
    <row r="4" spans="1:4" x14ac:dyDescent="0.35">
      <c r="A4" s="8" t="s">
        <v>35</v>
      </c>
      <c r="B4" s="8" t="s">
        <v>36</v>
      </c>
      <c r="C4" s="8">
        <v>2.68</v>
      </c>
      <c r="D4" s="8" t="s">
        <v>34</v>
      </c>
    </row>
    <row r="5" spans="1:4" x14ac:dyDescent="0.35">
      <c r="A5" s="8" t="s">
        <v>37</v>
      </c>
      <c r="B5" s="8" t="s">
        <v>38</v>
      </c>
      <c r="C5" s="8">
        <v>9.8000000000000007</v>
      </c>
      <c r="D5" s="8" t="s">
        <v>39</v>
      </c>
    </row>
    <row r="6" spans="1:4" x14ac:dyDescent="0.35">
      <c r="A6" s="13" t="s">
        <v>40</v>
      </c>
      <c r="D6" s="14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zoomScaleNormal="100" workbookViewId="0">
      <selection activeCell="D2" sqref="D2"/>
    </sheetView>
  </sheetViews>
  <sheetFormatPr defaultColWidth="8.6328125" defaultRowHeight="14.5" x14ac:dyDescent="0.35"/>
  <cols>
    <col min="1" max="1" width="8" customWidth="1"/>
    <col min="2" max="2" width="18" customWidth="1"/>
    <col min="3" max="4" width="14" customWidth="1"/>
    <col min="5" max="5" width="12" customWidth="1"/>
    <col min="6" max="6" width="22" customWidth="1"/>
    <col min="7" max="7" width="18" customWidth="1"/>
    <col min="8" max="8" width="20" customWidth="1"/>
  </cols>
  <sheetData>
    <row r="1" spans="1:8" ht="39" x14ac:dyDescent="0.35">
      <c r="A1" s="7" t="s">
        <v>6</v>
      </c>
      <c r="B1" s="7" t="s">
        <v>42</v>
      </c>
      <c r="C1" s="7" t="s">
        <v>113</v>
      </c>
      <c r="D1" s="7" t="s">
        <v>114</v>
      </c>
      <c r="E1" s="7" t="s">
        <v>43</v>
      </c>
      <c r="F1" s="7" t="s">
        <v>44</v>
      </c>
      <c r="G1" s="7" t="s">
        <v>45</v>
      </c>
      <c r="H1" s="7" t="s">
        <v>46</v>
      </c>
    </row>
    <row r="2" spans="1:8" x14ac:dyDescent="0.35">
      <c r="A2" s="11" t="str">
        <f>'02_Clean Data'!A2</f>
        <v>Jan</v>
      </c>
      <c r="B2" s="12">
        <f>'02_Clean Data'!B2+'02_Clean Data'!C2+'02_Clean Data'!D2*'03_Emission Factors'!$C$5</f>
        <v>403360</v>
      </c>
      <c r="C2" s="15">
        <f>('02_Clean Data'!C2*'03_Emission Factors'!$C$3+'02_Clean Data'!D2*'03_Emission Factors'!$C$4)/1000</f>
        <v>63.386000000000003</v>
      </c>
      <c r="D2" s="15">
        <f>'02_Clean Data'!B2*'03_Emission Factors'!$C$2/1000</f>
        <v>41.3</v>
      </c>
      <c r="E2" s="15">
        <f t="shared" ref="E2:E13" si="0">C2+D2</f>
        <v>104.68600000000001</v>
      </c>
      <c r="F2" s="16">
        <f>B2/'02_Clean Data'!E2</f>
        <v>41.159183673469386</v>
      </c>
      <c r="G2" s="17" t="str">
        <f>"n/a"</f>
        <v>n/a</v>
      </c>
      <c r="H2" s="16" t="str">
        <f>"n/a"</f>
        <v>n/a</v>
      </c>
    </row>
    <row r="3" spans="1:8" x14ac:dyDescent="0.35">
      <c r="A3" s="11" t="str">
        <f>'02_Clean Data'!A3</f>
        <v>Feb</v>
      </c>
      <c r="B3" s="12">
        <f>'02_Clean Data'!B3+'02_Clean Data'!C3+'02_Clean Data'!D3*'03_Emission Factors'!$C$5</f>
        <v>379420</v>
      </c>
      <c r="C3" s="15">
        <f>('02_Clean Data'!C3*'03_Emission Factors'!$C$3+'02_Clean Data'!D3*'03_Emission Factors'!$C$4)/1000</f>
        <v>59.552</v>
      </c>
      <c r="D3" s="15">
        <f>'02_Clean Data'!B3*'03_Emission Factors'!$C$2/1000</f>
        <v>39.200000000000003</v>
      </c>
      <c r="E3" s="15">
        <f t="shared" si="0"/>
        <v>98.75200000000001</v>
      </c>
      <c r="F3" s="16">
        <f>B3/'02_Clean Data'!E3</f>
        <v>39.938947368421054</v>
      </c>
      <c r="G3" s="17">
        <f t="shared" ref="G3:G13" si="1">(B3-B2)/B2</f>
        <v>-5.935144783815946E-2</v>
      </c>
      <c r="H3" s="16" t="str">
        <f>"n/a"</f>
        <v>n/a</v>
      </c>
    </row>
    <row r="4" spans="1:8" x14ac:dyDescent="0.35">
      <c r="A4" s="11" t="str">
        <f>'02_Clean Data'!A4</f>
        <v>Mar</v>
      </c>
      <c r="B4" s="12">
        <f>'02_Clean Data'!B4+'02_Clean Data'!C4+'02_Clean Data'!D4*'03_Emission Factors'!$C$5</f>
        <v>371320</v>
      </c>
      <c r="C4" s="15">
        <f>('02_Clean Data'!C4*'03_Emission Factors'!$C$3+'02_Clean Data'!D4*'03_Emission Factors'!$C$4)/1000</f>
        <v>56.448</v>
      </c>
      <c r="D4" s="15">
        <f>'02_Clean Data'!B4*'03_Emission Factors'!$C$2/1000</f>
        <v>42.35</v>
      </c>
      <c r="E4" s="15">
        <f t="shared" si="0"/>
        <v>98.798000000000002</v>
      </c>
      <c r="F4" s="16">
        <f>B4/'02_Clean Data'!E4</f>
        <v>36.403921568627453</v>
      </c>
      <c r="G4" s="17">
        <f t="shared" si="1"/>
        <v>-2.1348373833746243E-2</v>
      </c>
      <c r="H4" s="16">
        <f t="shared" ref="H4:H13" si="2">AVERAGE(F2:F4)</f>
        <v>39.167350870172633</v>
      </c>
    </row>
    <row r="5" spans="1:8" x14ac:dyDescent="0.35">
      <c r="A5" s="11" t="str">
        <f>'02_Clean Data'!A5</f>
        <v>Apr</v>
      </c>
      <c r="B5" s="12">
        <f>'02_Clean Data'!B5+'02_Clean Data'!C5+'02_Clean Data'!D5*'03_Emission Factors'!$C$5</f>
        <v>327380</v>
      </c>
      <c r="C5" s="15">
        <f>('02_Clean Data'!C5*'03_Emission Factors'!$C$3+'02_Clean Data'!D5*'03_Emission Factors'!$C$4)/1000</f>
        <v>48.372</v>
      </c>
      <c r="D5" s="15">
        <f>'02_Clean Data'!B5*'03_Emission Factors'!$C$2/1000</f>
        <v>40.6</v>
      </c>
      <c r="E5" s="15">
        <f t="shared" si="0"/>
        <v>88.972000000000008</v>
      </c>
      <c r="F5" s="16">
        <f>B5/'02_Clean Data'!E5</f>
        <v>32.738</v>
      </c>
      <c r="G5" s="17">
        <f t="shared" si="1"/>
        <v>-0.11833459011095551</v>
      </c>
      <c r="H5" s="16">
        <f t="shared" si="2"/>
        <v>36.360289645682833</v>
      </c>
    </row>
    <row r="6" spans="1:8" x14ac:dyDescent="0.35">
      <c r="A6" s="11" t="str">
        <f>'02_Clean Data'!A6</f>
        <v>May</v>
      </c>
      <c r="B6" s="12">
        <f>'02_Clean Data'!B6+'02_Clean Data'!C6+'02_Clean Data'!D6*'03_Emission Factors'!$C$5</f>
        <v>295400</v>
      </c>
      <c r="C6" s="15">
        <f>('02_Clean Data'!C6*'03_Emission Factors'!$C$3+'02_Clean Data'!D6*'03_Emission Factors'!$C$4)/1000</f>
        <v>41.235999999999997</v>
      </c>
      <c r="D6" s="15">
        <f>'02_Clean Data'!B6*'03_Emission Factors'!$C$2/1000</f>
        <v>41.65</v>
      </c>
      <c r="E6" s="15">
        <f t="shared" si="0"/>
        <v>82.885999999999996</v>
      </c>
      <c r="F6" s="16">
        <f>B6/'02_Clean Data'!E6</f>
        <v>28.403846153846153</v>
      </c>
      <c r="G6" s="17">
        <f t="shared" si="1"/>
        <v>-9.7684647809884534E-2</v>
      </c>
      <c r="H6" s="16">
        <f t="shared" si="2"/>
        <v>32.515255907491202</v>
      </c>
    </row>
    <row r="7" spans="1:8" x14ac:dyDescent="0.35">
      <c r="A7" s="11" t="str">
        <f>'02_Clean Data'!A7</f>
        <v>Jun</v>
      </c>
      <c r="B7" s="12">
        <f>'02_Clean Data'!B7+'02_Clean Data'!C7+'02_Clean Data'!D7*'03_Emission Factors'!$C$5</f>
        <v>276340</v>
      </c>
      <c r="C7" s="15">
        <f>('02_Clean Data'!C7*'03_Emission Factors'!$C$3+'02_Clean Data'!D7*'03_Emission Factors'!$C$4)/1000</f>
        <v>36.787999999999997</v>
      </c>
      <c r="D7" s="15">
        <f>'02_Clean Data'!B7*'03_Emission Factors'!$C$2/1000</f>
        <v>43.05</v>
      </c>
      <c r="E7" s="15">
        <f t="shared" si="0"/>
        <v>79.837999999999994</v>
      </c>
      <c r="F7" s="16">
        <f>B7/'02_Clean Data'!E7</f>
        <v>25.826168224299064</v>
      </c>
      <c r="G7" s="17">
        <f t="shared" si="1"/>
        <v>-6.4522681110358832E-2</v>
      </c>
      <c r="H7" s="16">
        <f t="shared" si="2"/>
        <v>28.989338126048406</v>
      </c>
    </row>
    <row r="8" spans="1:8" x14ac:dyDescent="0.35">
      <c r="A8" s="11" t="str">
        <f>'02_Clean Data'!A8</f>
        <v>Jul</v>
      </c>
      <c r="B8" s="12">
        <f>'02_Clean Data'!B8+'02_Clean Data'!C8+'02_Clean Data'!D8*'03_Emission Factors'!$C$5</f>
        <v>270300</v>
      </c>
      <c r="C8" s="15">
        <f>('02_Clean Data'!C8*'03_Emission Factors'!$C$3+'02_Clean Data'!D8*'03_Emission Factors'!$C$4)/1000</f>
        <v>35.101999999999997</v>
      </c>
      <c r="D8" s="15">
        <f>'02_Clean Data'!B8*'03_Emission Factors'!$C$2/1000</f>
        <v>44.1</v>
      </c>
      <c r="E8" s="15">
        <f t="shared" si="0"/>
        <v>79.201999999999998</v>
      </c>
      <c r="F8" s="16">
        <f>B8/'02_Clean Data'!E8</f>
        <v>24.798165137614678</v>
      </c>
      <c r="G8" s="17">
        <f t="shared" si="1"/>
        <v>-2.1857132517912718E-2</v>
      </c>
      <c r="H8" s="16">
        <f t="shared" si="2"/>
        <v>26.342726505253296</v>
      </c>
    </row>
    <row r="9" spans="1:8" x14ac:dyDescent="0.35">
      <c r="A9" s="11" t="str">
        <f>'02_Clean Data'!A9</f>
        <v>Aug</v>
      </c>
      <c r="B9" s="12">
        <f>'02_Clean Data'!B9+'02_Clean Data'!C9+'02_Clean Data'!D9*'03_Emission Factors'!$C$5</f>
        <v>274280</v>
      </c>
      <c r="C9" s="15">
        <f>('02_Clean Data'!C9*'03_Emission Factors'!$C$3+'02_Clean Data'!D9*'03_Emission Factors'!$C$4)/1000</f>
        <v>36.177999999999997</v>
      </c>
      <c r="D9" s="15">
        <f>'02_Clean Data'!B9*'03_Emission Factors'!$C$2/1000</f>
        <v>43.75</v>
      </c>
      <c r="E9" s="15">
        <f t="shared" si="0"/>
        <v>79.927999999999997</v>
      </c>
      <c r="F9" s="16">
        <f>B9/'02_Clean Data'!E9</f>
        <v>25.396296296296295</v>
      </c>
      <c r="G9" s="17">
        <f t="shared" si="1"/>
        <v>1.4724380318165002E-2</v>
      </c>
      <c r="H9" s="16">
        <f t="shared" si="2"/>
        <v>25.340209886070014</v>
      </c>
    </row>
    <row r="10" spans="1:8" x14ac:dyDescent="0.35">
      <c r="A10" s="11" t="str">
        <f>'02_Clean Data'!A10</f>
        <v>Sep</v>
      </c>
      <c r="B10" s="12">
        <f>'02_Clean Data'!B10+'02_Clean Data'!C10+'02_Clean Data'!D10*'03_Emission Factors'!$C$5</f>
        <v>288360</v>
      </c>
      <c r="C10" s="15">
        <f>('02_Clean Data'!C10*'03_Emission Factors'!$C$3+'02_Clean Data'!D10*'03_Emission Factors'!$C$4)/1000</f>
        <v>39.752000000000002</v>
      </c>
      <c r="D10" s="15">
        <f>'02_Clean Data'!B10*'03_Emission Factors'!$C$2/1000</f>
        <v>42</v>
      </c>
      <c r="E10" s="15">
        <f t="shared" si="0"/>
        <v>81.75200000000001</v>
      </c>
      <c r="F10" s="16">
        <f>B10/'02_Clean Data'!E10</f>
        <v>28.550495049504949</v>
      </c>
      <c r="G10" s="17">
        <f t="shared" si="1"/>
        <v>5.1334402800058333E-2</v>
      </c>
      <c r="H10" s="16">
        <f t="shared" si="2"/>
        <v>26.248318827805306</v>
      </c>
    </row>
    <row r="11" spans="1:8" x14ac:dyDescent="0.35">
      <c r="A11" s="11" t="str">
        <f>'02_Clean Data'!A11</f>
        <v>Oct</v>
      </c>
      <c r="B11" s="12">
        <f>'02_Clean Data'!B11+'02_Clean Data'!C11+'02_Clean Data'!D11*'03_Emission Factors'!$C$5</f>
        <v>325380</v>
      </c>
      <c r="C11" s="15">
        <f>('02_Clean Data'!C11*'03_Emission Factors'!$C$3+'02_Clean Data'!D11*'03_Emission Factors'!$C$4)/1000</f>
        <v>47.765999999999998</v>
      </c>
      <c r="D11" s="15">
        <f>'02_Clean Data'!B11*'03_Emission Factors'!$C$2/1000</f>
        <v>40.950000000000003</v>
      </c>
      <c r="E11" s="15">
        <f t="shared" si="0"/>
        <v>88.716000000000008</v>
      </c>
      <c r="F11" s="16">
        <f>B11/'02_Clean Data'!E11</f>
        <v>32.866666666666667</v>
      </c>
      <c r="G11" s="17">
        <f t="shared" si="1"/>
        <v>0.12838119017894298</v>
      </c>
      <c r="H11" s="16">
        <f t="shared" si="2"/>
        <v>28.937819337489305</v>
      </c>
    </row>
    <row r="12" spans="1:8" x14ac:dyDescent="0.35">
      <c r="A12" s="11" t="str">
        <f>'02_Clean Data'!A12</f>
        <v>Nov</v>
      </c>
      <c r="B12" s="12">
        <f>'02_Clean Data'!B12+'02_Clean Data'!C12+'02_Clean Data'!D12*'03_Emission Factors'!$C$5</f>
        <v>357420</v>
      </c>
      <c r="C12" s="15">
        <f>('02_Clean Data'!C12*'03_Emission Factors'!$C$3+'02_Clean Data'!D12*'03_Emission Factors'!$C$4)/1000</f>
        <v>54.502000000000002</v>
      </c>
      <c r="D12" s="15">
        <f>'02_Clean Data'!B12*'03_Emission Factors'!$C$2/1000</f>
        <v>40.25</v>
      </c>
      <c r="E12" s="15">
        <f t="shared" si="0"/>
        <v>94.75200000000001</v>
      </c>
      <c r="F12" s="16">
        <f>B12/'02_Clean Data'!E12</f>
        <v>36.847422680412372</v>
      </c>
      <c r="G12" s="17">
        <f t="shared" si="1"/>
        <v>9.8469481836621797E-2</v>
      </c>
      <c r="H12" s="16">
        <f t="shared" si="2"/>
        <v>32.754861465527995</v>
      </c>
    </row>
    <row r="13" spans="1:8" x14ac:dyDescent="0.35">
      <c r="A13" s="11" t="str">
        <f>'02_Clean Data'!A13</f>
        <v>Dec</v>
      </c>
      <c r="B13" s="12">
        <f>'02_Clean Data'!B13+'02_Clean Data'!C13+'02_Clean Data'!D13*'03_Emission Factors'!$C$5</f>
        <v>401340</v>
      </c>
      <c r="C13" s="15">
        <f>('02_Clean Data'!C13*'03_Emission Factors'!$C$3+'02_Clean Data'!D13*'03_Emission Factors'!$C$4)/1000</f>
        <v>62.24</v>
      </c>
      <c r="D13" s="15">
        <f>'02_Clean Data'!B13*'03_Emission Factors'!$C$2/1000</f>
        <v>42.7</v>
      </c>
      <c r="E13" s="15">
        <f t="shared" si="0"/>
        <v>104.94</v>
      </c>
      <c r="F13" s="16">
        <f>B13/'02_Clean Data'!E13</f>
        <v>38.965048543689321</v>
      </c>
      <c r="G13" s="17">
        <f t="shared" si="1"/>
        <v>0.12288064461977505</v>
      </c>
      <c r="H13" s="16">
        <f t="shared" si="2"/>
        <v>36.226379296922786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zoomScaleNormal="100" workbookViewId="0"/>
  </sheetViews>
  <sheetFormatPr defaultColWidth="8.6328125" defaultRowHeight="14.5" x14ac:dyDescent="0.35"/>
  <cols>
    <col min="1" max="1" width="28" customWidth="1"/>
    <col min="2" max="2" width="16" customWidth="1"/>
    <col min="3" max="3" width="18" customWidth="1"/>
    <col min="4" max="4" width="52" customWidth="1"/>
  </cols>
  <sheetData>
    <row r="1" spans="1:4" x14ac:dyDescent="0.35">
      <c r="A1" s="7" t="s">
        <v>47</v>
      </c>
      <c r="B1" s="7" t="s">
        <v>48</v>
      </c>
      <c r="C1" s="7" t="s">
        <v>27</v>
      </c>
      <c r="D1" s="7" t="s">
        <v>49</v>
      </c>
    </row>
    <row r="2" spans="1:4" x14ac:dyDescent="0.35">
      <c r="A2" s="11" t="s">
        <v>50</v>
      </c>
      <c r="B2" s="18">
        <f>SUM('02_Clean Data'!B2:B13)</f>
        <v>1434000</v>
      </c>
      <c r="C2" s="11" t="s">
        <v>51</v>
      </c>
      <c r="D2" s="11" t="s">
        <v>52</v>
      </c>
    </row>
    <row r="3" spans="1:4" x14ac:dyDescent="0.35">
      <c r="A3" s="11" t="s">
        <v>53</v>
      </c>
      <c r="B3" s="18">
        <f>SUM('02_Clean Data'!C2:C13)</f>
        <v>1571000</v>
      </c>
      <c r="C3" s="11" t="s">
        <v>51</v>
      </c>
      <c r="D3" s="11" t="s">
        <v>54</v>
      </c>
    </row>
    <row r="4" spans="1:4" x14ac:dyDescent="0.35">
      <c r="A4" s="11" t="s">
        <v>55</v>
      </c>
      <c r="B4" s="18">
        <f>SUM('02_Clean Data'!D2:D13)</f>
        <v>98500</v>
      </c>
      <c r="C4" s="11" t="s">
        <v>56</v>
      </c>
      <c r="D4" s="11" t="s">
        <v>57</v>
      </c>
    </row>
    <row r="5" spans="1:4" x14ac:dyDescent="0.35">
      <c r="A5" s="11" t="s">
        <v>58</v>
      </c>
      <c r="B5" s="18">
        <f>SUM('04_Calculations'!B2:B13)</f>
        <v>3970300</v>
      </c>
      <c r="C5" s="11" t="s">
        <v>51</v>
      </c>
      <c r="D5" s="11" t="s">
        <v>59</v>
      </c>
    </row>
    <row r="6" spans="1:4" x14ac:dyDescent="0.35">
      <c r="A6" s="11" t="s">
        <v>60</v>
      </c>
      <c r="B6" s="18">
        <f>SUM('04_Calculations'!E2:E13)</f>
        <v>1083.222</v>
      </c>
      <c r="C6" s="11" t="s">
        <v>61</v>
      </c>
      <c r="D6" s="11" t="s">
        <v>62</v>
      </c>
    </row>
    <row r="7" spans="1:4" x14ac:dyDescent="0.35">
      <c r="A7" s="11" t="s">
        <v>63</v>
      </c>
      <c r="B7" s="18">
        <f>B5/SUM('02_Clean Data'!E2:E13)</f>
        <v>32.463614063777598</v>
      </c>
      <c r="C7" s="11" t="s">
        <v>64</v>
      </c>
      <c r="D7" s="11" t="s">
        <v>65</v>
      </c>
    </row>
    <row r="8" spans="1:4" x14ac:dyDescent="0.35">
      <c r="A8" s="11" t="s">
        <v>66</v>
      </c>
      <c r="B8" s="18">
        <f>MAX('02_Clean Data'!C2:C13)/MIN('02_Clean Data'!C2:C13)</f>
        <v>3.360655737704918</v>
      </c>
      <c r="C8" s="11" t="s">
        <v>67</v>
      </c>
      <c r="D8" s="11" t="s">
        <v>68</v>
      </c>
    </row>
    <row r="9" spans="1:4" x14ac:dyDescent="0.35">
      <c r="A9" s="11" t="s">
        <v>69</v>
      </c>
      <c r="B9" s="18" t="str">
        <f>INDEX('02_Clean Data'!A2:A13,MATCH(MAX('02_Clean Data'!C2:C13),'02_Clean Data'!C2:C13,0))</f>
        <v>Jan</v>
      </c>
      <c r="C9" s="11" t="s">
        <v>70</v>
      </c>
      <c r="D9" s="11" t="s">
        <v>71</v>
      </c>
    </row>
    <row r="10" spans="1:4" x14ac:dyDescent="0.35">
      <c r="A10" s="11" t="s">
        <v>72</v>
      </c>
      <c r="B10" s="18">
        <f>CORREL('02_Clean Data'!E2:E13,'04_Calculations'!B2:B13)</f>
        <v>-0.70169205294213988</v>
      </c>
      <c r="C10" s="11" t="s">
        <v>73</v>
      </c>
      <c r="D10" s="11" t="s">
        <v>74</v>
      </c>
    </row>
    <row r="11" spans="1:4" x14ac:dyDescent="0.35">
      <c r="A11" s="11" t="s">
        <v>75</v>
      </c>
      <c r="B11" s="18">
        <f>B6/SUM('02_Clean Data'!E2:E13)*1000</f>
        <v>8.8570891251022079</v>
      </c>
      <c r="C11" s="11" t="s">
        <v>76</v>
      </c>
      <c r="D11" s="11" t="s">
        <v>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7"/>
  <sheetViews>
    <sheetView topLeftCell="B6" zoomScaleNormal="100" workbookViewId="0">
      <selection activeCell="G29" sqref="G29"/>
    </sheetView>
  </sheetViews>
  <sheetFormatPr defaultColWidth="8.6328125" defaultRowHeight="14.5" x14ac:dyDescent="0.35"/>
  <cols>
    <col min="1" max="8" width="16" customWidth="1"/>
    <col min="9" max="9" width="14" customWidth="1"/>
    <col min="10" max="10" width="22" customWidth="1"/>
  </cols>
  <sheetData>
    <row r="1" spans="1:7" ht="20" x14ac:dyDescent="0.4">
      <c r="A1" s="3" t="s">
        <v>0</v>
      </c>
    </row>
    <row r="2" spans="1:7" x14ac:dyDescent="0.35">
      <c r="A2" s="4" t="s">
        <v>109</v>
      </c>
    </row>
    <row r="4" spans="1:7" x14ac:dyDescent="0.35">
      <c r="A4" s="19" t="s">
        <v>78</v>
      </c>
      <c r="C4" s="19" t="s">
        <v>79</v>
      </c>
      <c r="E4" s="19" t="s">
        <v>80</v>
      </c>
      <c r="G4" s="19" t="s">
        <v>81</v>
      </c>
    </row>
    <row r="5" spans="1:7" ht="23" x14ac:dyDescent="0.5">
      <c r="A5" s="20">
        <f>'05_KPIs'!B5</f>
        <v>3970300</v>
      </c>
      <c r="C5" s="21">
        <f>'05_KPIs'!B6</f>
        <v>1083.222</v>
      </c>
      <c r="E5" s="22">
        <f>'05_KPIs'!B7</f>
        <v>32.463614063777598</v>
      </c>
      <c r="G5" s="23">
        <f>'05_KPIs'!B8</f>
        <v>3.360655737704918</v>
      </c>
    </row>
    <row r="6" spans="1:7" x14ac:dyDescent="0.35">
      <c r="A6" s="24"/>
      <c r="C6" s="24"/>
      <c r="E6" s="24"/>
      <c r="G6" s="24"/>
    </row>
    <row r="26" spans="10:15" ht="15.5" x14ac:dyDescent="0.35">
      <c r="J26" s="5" t="s">
        <v>82</v>
      </c>
    </row>
    <row r="27" spans="10:15" x14ac:dyDescent="0.35">
      <c r="J27" s="13" t="str">
        <f>COUNTIF('02_Clean Data'!F2:F13,"&lt;&gt;OK")&amp;" of 12 months flagged for review (see 02_Clean Data column F)"</f>
        <v>0 of 12 months flagged for review (see 02_Clean Data column F)</v>
      </c>
    </row>
    <row r="29" spans="10:15" ht="15.5" x14ac:dyDescent="0.35">
      <c r="J29" s="5" t="s">
        <v>83</v>
      </c>
    </row>
    <row r="30" spans="10:15" ht="30" customHeight="1" x14ac:dyDescent="0.35">
      <c r="J30" s="1" t="str">
        <f>"Peak gas month: "&amp;'05_KPIs'!B9&amp;" has a seasonal swing of "&amp;TEXT('05_KPIs'!B8,"0.0")&amp;"x between peak and trough."</f>
        <v>Peak gas month: Jan has a seasonal swing of 3.4x between peak and trough.</v>
      </c>
      <c r="K30" s="1"/>
      <c r="L30" s="1"/>
      <c r="M30" s="1"/>
      <c r="N30" s="1"/>
      <c r="O30" s="1"/>
    </row>
    <row r="31" spans="10:15" ht="30" customHeight="1" x14ac:dyDescent="0.35">
      <c r="J31" s="1" t="str">
        <f>"Production vs. total energy correlation r = "&amp;TEXT('05_KPIs'!B10,"0.00")&amp;" suggests energy is largely weather/fixed-load driven, not output-driven."</f>
        <v>Production vs. total energy correlation r = -0.70 suggests energy is largely weather/fixed-load driven, not output-driven.</v>
      </c>
      <c r="K31" s="1"/>
      <c r="L31" s="1"/>
      <c r="M31" s="1"/>
      <c r="N31" s="1"/>
      <c r="O31" s="1"/>
    </row>
    <row r="32" spans="10:15" ht="30" customHeight="1" x14ac:dyDescent="0.35">
      <c r="J32" s="1" t="str">
        <f>"Carbon intensity: "&amp;TEXT('05_KPIs'!B11,"0.0")&amp;" kgCO2e per production unit (annual average)."</f>
        <v>Carbon intensity: 8.9 kgCO2e per production unit (annual average).</v>
      </c>
      <c r="K32" s="1"/>
      <c r="L32" s="1"/>
      <c r="M32" s="1"/>
      <c r="N32" s="1"/>
      <c r="O32" s="1"/>
    </row>
    <row r="34" spans="1:8" ht="15.5" x14ac:dyDescent="0.35">
      <c r="A34" s="5" t="s">
        <v>84</v>
      </c>
    </row>
    <row r="35" spans="1:8" x14ac:dyDescent="0.35">
      <c r="A35" s="2" t="s">
        <v>85</v>
      </c>
      <c r="B35" s="2"/>
      <c r="C35" s="2"/>
      <c r="D35" s="2"/>
      <c r="E35" s="2"/>
      <c r="F35" s="2"/>
      <c r="G35" s="2"/>
      <c r="H35" s="2"/>
    </row>
    <row r="36" spans="1:8" x14ac:dyDescent="0.35">
      <c r="A36" s="2" t="s">
        <v>86</v>
      </c>
      <c r="B36" s="2"/>
      <c r="C36" s="2"/>
      <c r="D36" s="2"/>
      <c r="E36" s="2"/>
      <c r="F36" s="2"/>
      <c r="G36" s="2"/>
      <c r="H36" s="2"/>
    </row>
    <row r="37" spans="1:8" x14ac:dyDescent="0.35">
      <c r="A37" s="2" t="s">
        <v>87</v>
      </c>
      <c r="B37" s="2"/>
      <c r="C37" s="2"/>
      <c r="D37" s="2"/>
      <c r="E37" s="2"/>
      <c r="F37" s="2"/>
      <c r="G37" s="2"/>
      <c r="H37" s="2"/>
    </row>
  </sheetData>
  <mergeCells count="6">
    <mergeCell ref="A37:H37"/>
    <mergeCell ref="J30:O30"/>
    <mergeCell ref="J31:O31"/>
    <mergeCell ref="J32:O32"/>
    <mergeCell ref="A35:H35"/>
    <mergeCell ref="A36:H3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zoomScaleNormal="100" workbookViewId="0"/>
  </sheetViews>
  <sheetFormatPr defaultColWidth="8.6328125" defaultRowHeight="14.5" x14ac:dyDescent="0.35"/>
  <cols>
    <col min="1" max="1" width="22" customWidth="1"/>
    <col min="2" max="3" width="34" customWidth="1"/>
    <col min="4" max="4" width="16" customWidth="1"/>
  </cols>
  <sheetData>
    <row r="1" spans="1:4" x14ac:dyDescent="0.35">
      <c r="A1" s="7" t="s">
        <v>88</v>
      </c>
      <c r="B1" s="7" t="s">
        <v>89</v>
      </c>
      <c r="C1" s="7" t="s">
        <v>90</v>
      </c>
      <c r="D1" s="7" t="s">
        <v>91</v>
      </c>
    </row>
    <row r="2" spans="1:4" x14ac:dyDescent="0.35">
      <c r="A2" s="11" t="s">
        <v>92</v>
      </c>
      <c r="B2" s="11" t="s">
        <v>93</v>
      </c>
      <c r="C2" s="11" t="s">
        <v>94</v>
      </c>
      <c r="D2" s="11" t="s">
        <v>95</v>
      </c>
    </row>
    <row r="3" spans="1:4" x14ac:dyDescent="0.35">
      <c r="A3" s="11" t="s">
        <v>96</v>
      </c>
      <c r="B3" s="11" t="s">
        <v>97</v>
      </c>
      <c r="C3" s="11" t="s">
        <v>98</v>
      </c>
      <c r="D3" s="11" t="s">
        <v>95</v>
      </c>
    </row>
    <row r="4" spans="1:4" x14ac:dyDescent="0.35">
      <c r="A4" s="11" t="s">
        <v>99</v>
      </c>
      <c r="B4" s="11" t="s">
        <v>100</v>
      </c>
      <c r="C4" s="11" t="s">
        <v>101</v>
      </c>
      <c r="D4" s="11" t="s">
        <v>95</v>
      </c>
    </row>
    <row r="5" spans="1:4" x14ac:dyDescent="0.35">
      <c r="A5" s="11" t="s">
        <v>102</v>
      </c>
      <c r="B5" s="11" t="s">
        <v>103</v>
      </c>
      <c r="C5" s="11" t="s">
        <v>104</v>
      </c>
      <c r="D5" s="11" t="s">
        <v>105</v>
      </c>
    </row>
    <row r="6" spans="1:4" x14ac:dyDescent="0.35">
      <c r="A6" s="11" t="s">
        <v>106</v>
      </c>
      <c r="B6" s="11" t="s">
        <v>107</v>
      </c>
      <c r="C6" s="11" t="s">
        <v>108</v>
      </c>
      <c r="D6" s="11" t="s">
        <v>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00_Client View</vt:lpstr>
      <vt:lpstr>01_Raw Data</vt:lpstr>
      <vt:lpstr>02_Clean Data</vt:lpstr>
      <vt:lpstr>03_Emission Factors</vt:lpstr>
      <vt:lpstr>04_Calculations</vt:lpstr>
      <vt:lpstr>05_KPIs</vt:lpstr>
      <vt:lpstr>06_Dashboard</vt:lpstr>
      <vt:lpstr>07_Client 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Jumoke Oladejo</dc:creator>
  <dc:description/>
  <cp:lastModifiedBy>Jumoke Oladejo</cp:lastModifiedBy>
  <cp:revision>1</cp:revision>
  <dcterms:created xsi:type="dcterms:W3CDTF">2026-09-22T07:24:28Z</dcterms:created>
  <dcterms:modified xsi:type="dcterms:W3CDTF">2026-10-04T19:53:26Z</dcterms:modified>
  <dc:language>en-US</dc:language>
</cp:coreProperties>
</file>
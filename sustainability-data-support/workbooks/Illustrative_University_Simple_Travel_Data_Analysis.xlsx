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mmie\Documents\Energy Manager Role\Illustrative Project\"/>
    </mc:Choice>
  </mc:AlternateContent>
  <xr:revisionPtr revIDLastSave="0" documentId="13_ncr:1_{0718E044-D38A-40BE-9CBB-C04DFDD1C77F}" xr6:coauthVersionLast="47" xr6:coauthVersionMax="47" xr10:uidLastSave="{00000000-0000-0000-0000-000000000000}"/>
  <bookViews>
    <workbookView xWindow="-110" yWindow="-110" windowWidth="22780" windowHeight="14540" tabRatio="500" firstSheet="4" activeTab="6" xr2:uid="{00000000-000D-0000-FFFF-FFFF00000000}"/>
  </bookViews>
  <sheets>
    <sheet name="00_Client View" sheetId="1" r:id="rId1"/>
    <sheet name="01_Raw Data" sheetId="2" r:id="rId2"/>
    <sheet name="02_Clean Data" sheetId="3" r:id="rId3"/>
    <sheet name="03_Emission Factors" sheetId="4" r:id="rId4"/>
    <sheet name="04_Calculations" sheetId="5" r:id="rId5"/>
    <sheet name="05_KPIs" sheetId="6" r:id="rId6"/>
    <sheet name="06_Dashboard" sheetId="7" r:id="rId7"/>
    <sheet name="07_Client Inputs" sheetId="8" r:id="rId8"/>
  </sheets>
  <definedNames>
    <definedName name="_xlchart.v1.0" hidden="1">'02_Clean Data'!$A$2:$A$13</definedName>
    <definedName name="_xlchart.v1.1" hidden="1">'04_Calculations'!$D$1</definedName>
    <definedName name="_xlchart.v1.2" hidden="1">'04_Calculations'!$D$2:$D$13</definedName>
    <definedName name="_xlchart.v1.3" hidden="1">'02_Clean Data'!$A$2:$A$13</definedName>
    <definedName name="_xlchart.v1.4" hidden="1">'04_Calculations'!$D$1</definedName>
    <definedName name="_xlchart.v1.5" hidden="1">'04_Calculations'!$D$2:$D$13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2" i="7" l="1"/>
  <c r="J27" i="7"/>
  <c r="K13" i="7"/>
  <c r="B9" i="6"/>
  <c r="B8" i="6"/>
  <c r="A13" i="5"/>
  <c r="D12" i="5"/>
  <c r="A12" i="5"/>
  <c r="D11" i="5"/>
  <c r="C11" i="5"/>
  <c r="D10" i="5"/>
  <c r="C10" i="5"/>
  <c r="D9" i="5"/>
  <c r="C9" i="5"/>
  <c r="A9" i="5"/>
  <c r="D8" i="5"/>
  <c r="A8" i="5"/>
  <c r="A7" i="5"/>
  <c r="A6" i="5"/>
  <c r="A5" i="5"/>
  <c r="D4" i="5"/>
  <c r="A4" i="5"/>
  <c r="D3" i="5"/>
  <c r="C3" i="5"/>
  <c r="D2" i="5"/>
  <c r="C2" i="5"/>
  <c r="G13" i="3"/>
  <c r="D13" i="5" s="1"/>
  <c r="F13" i="3"/>
  <c r="E13" i="3"/>
  <c r="C13" i="5" s="1"/>
  <c r="D13" i="3"/>
  <c r="C13" i="3"/>
  <c r="B13" i="3"/>
  <c r="B13" i="5" s="1"/>
  <c r="A13" i="3"/>
  <c r="G12" i="3"/>
  <c r="F12" i="3"/>
  <c r="E12" i="3"/>
  <c r="C12" i="5" s="1"/>
  <c r="D12" i="3"/>
  <c r="C12" i="3"/>
  <c r="B12" i="3"/>
  <c r="A12" i="3"/>
  <c r="G11" i="3"/>
  <c r="F11" i="3"/>
  <c r="E11" i="3"/>
  <c r="H11" i="3" s="1"/>
  <c r="D11" i="3"/>
  <c r="C11" i="3"/>
  <c r="B11" i="3"/>
  <c r="B11" i="5" s="1"/>
  <c r="A11" i="3"/>
  <c r="A11" i="5" s="1"/>
  <c r="G10" i="3"/>
  <c r="F10" i="3"/>
  <c r="E10" i="3"/>
  <c r="H10" i="3" s="1"/>
  <c r="D10" i="3"/>
  <c r="C10" i="3"/>
  <c r="B10" i="3"/>
  <c r="A10" i="3"/>
  <c r="A10" i="5" s="1"/>
  <c r="G9" i="3"/>
  <c r="F9" i="3"/>
  <c r="E9" i="3"/>
  <c r="H9" i="3" s="1"/>
  <c r="D9" i="3"/>
  <c r="C9" i="3"/>
  <c r="B9" i="3"/>
  <c r="E9" i="5" s="1"/>
  <c r="F9" i="5" s="1"/>
  <c r="A9" i="3"/>
  <c r="G8" i="3"/>
  <c r="F8" i="3"/>
  <c r="E8" i="3"/>
  <c r="C8" i="5" s="1"/>
  <c r="D8" i="3"/>
  <c r="C8" i="3"/>
  <c r="B8" i="3"/>
  <c r="A8" i="3"/>
  <c r="G7" i="3"/>
  <c r="D7" i="5" s="1"/>
  <c r="F7" i="3"/>
  <c r="E7" i="3"/>
  <c r="C7" i="5" s="1"/>
  <c r="D7" i="3"/>
  <c r="C7" i="3"/>
  <c r="B7" i="3"/>
  <c r="B7" i="5" s="1"/>
  <c r="A7" i="3"/>
  <c r="G6" i="3"/>
  <c r="D6" i="5" s="1"/>
  <c r="F6" i="3"/>
  <c r="E6" i="3"/>
  <c r="C6" i="5" s="1"/>
  <c r="D6" i="3"/>
  <c r="C6" i="3"/>
  <c r="B6" i="3"/>
  <c r="E6" i="5" s="1"/>
  <c r="F6" i="5" s="1"/>
  <c r="A6" i="3"/>
  <c r="G5" i="3"/>
  <c r="D5" i="5" s="1"/>
  <c r="F5" i="3"/>
  <c r="E5" i="3"/>
  <c r="C5" i="5" s="1"/>
  <c r="D5" i="3"/>
  <c r="C5" i="3"/>
  <c r="B5" i="3"/>
  <c r="B5" i="5" s="1"/>
  <c r="A5" i="3"/>
  <c r="G4" i="3"/>
  <c r="F4" i="3"/>
  <c r="E4" i="3"/>
  <c r="C4" i="5" s="1"/>
  <c r="D4" i="3"/>
  <c r="C4" i="3"/>
  <c r="B4" i="3"/>
  <c r="A4" i="3"/>
  <c r="G3" i="3"/>
  <c r="F3" i="3"/>
  <c r="E3" i="3"/>
  <c r="H3" i="3" s="1"/>
  <c r="D3" i="3"/>
  <c r="C3" i="3"/>
  <c r="B3" i="3"/>
  <c r="B3" i="5" s="1"/>
  <c r="A3" i="3"/>
  <c r="A3" i="5" s="1"/>
  <c r="G2" i="3"/>
  <c r="F2" i="3"/>
  <c r="E2" i="3"/>
  <c r="B4" i="6" s="1"/>
  <c r="B10" i="6" s="1"/>
  <c r="D2" i="3"/>
  <c r="K12" i="7" s="1"/>
  <c r="C2" i="3"/>
  <c r="B3" i="6" s="1"/>
  <c r="B2" i="3"/>
  <c r="A2" i="3"/>
  <c r="A2" i="5" s="1"/>
  <c r="G5" i="7" l="1"/>
  <c r="G8" i="5"/>
  <c r="K10" i="7"/>
  <c r="E4" i="5"/>
  <c r="F4" i="5" s="1"/>
  <c r="G6" i="5"/>
  <c r="H2" i="3"/>
  <c r="H4" i="3"/>
  <c r="H5" i="3"/>
  <c r="H6" i="3"/>
  <c r="H7" i="3"/>
  <c r="H8" i="3"/>
  <c r="H12" i="3"/>
  <c r="H13" i="3"/>
  <c r="B4" i="5"/>
  <c r="E7" i="5"/>
  <c r="F7" i="5" s="1"/>
  <c r="G9" i="5"/>
  <c r="B12" i="5"/>
  <c r="B2" i="5"/>
  <c r="E5" i="5"/>
  <c r="F5" i="5" s="1"/>
  <c r="B10" i="5"/>
  <c r="E13" i="5"/>
  <c r="F13" i="5" s="1"/>
  <c r="B9" i="5"/>
  <c r="E12" i="5"/>
  <c r="F12" i="5" s="1"/>
  <c r="K11" i="7"/>
  <c r="E3" i="5"/>
  <c r="F3" i="5" s="1"/>
  <c r="B8" i="5"/>
  <c r="E11" i="5"/>
  <c r="F11" i="5" s="1"/>
  <c r="G13" i="5"/>
  <c r="E2" i="5"/>
  <c r="E10" i="5"/>
  <c r="F10" i="5" s="1"/>
  <c r="B2" i="6"/>
  <c r="B6" i="5"/>
  <c r="K14" i="7"/>
  <c r="E8" i="5"/>
  <c r="F8" i="5" s="1"/>
  <c r="G3" i="5" l="1"/>
  <c r="G5" i="5"/>
  <c r="G12" i="5"/>
  <c r="F2" i="5"/>
  <c r="B5" i="6"/>
  <c r="G10" i="5"/>
  <c r="G2" i="5"/>
  <c r="G11" i="5"/>
  <c r="G7" i="5"/>
  <c r="G4" i="5"/>
  <c r="A5" i="7" l="1"/>
  <c r="B7" i="6"/>
  <c r="E5" i="7" s="1"/>
  <c r="B6" i="6"/>
  <c r="C5" i="7" l="1"/>
  <c r="J30" i="7"/>
</calcChain>
</file>

<file path=xl/sharedStrings.xml><?xml version="1.0" encoding="utf-8"?>
<sst xmlns="http://schemas.openxmlformats.org/spreadsheetml/2006/main" count="140" uniqueCount="114">
  <si>
    <t>University Travel Data Analysis</t>
  </si>
  <si>
    <t>Purpose</t>
  </si>
  <si>
    <t>Demonstrate how fragmented sustainability data can become clean, transparent KPIs and management reporting.</t>
  </si>
  <si>
    <t>Key findings</t>
  </si>
  <si>
    <t>• Travel volume tracks the academic calendar closely: July/August traveller counts fall well below the annual average.</t>
  </si>
  <si>
    <t>• Hotel nights run almost exactly 1:1 with traveller counts, which is a useful internal consistency check on the underlying booking data.</t>
  </si>
  <si>
    <t>• Next step: reconcile booking, expense and reimbursement sources and define scope (staff/students/visitors) before reporting externally.</t>
  </si>
  <si>
    <t>Month</t>
  </si>
  <si>
    <t>Flights (passenger-km)</t>
  </si>
  <si>
    <t>Rail (km)</t>
  </si>
  <si>
    <t>Car (km)</t>
  </si>
  <si>
    <t>Hotel nights</t>
  </si>
  <si>
    <t>Taxi (km)</t>
  </si>
  <si>
    <t>Travellers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</si>
  <si>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</si>
  <si>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</si>
  <si>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</si>
  <si>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</si>
  <si>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</si>
  <si>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</si>
  <si>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</si>
  <si>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</si>
  <si>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</si>
  <si>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</si>
  <si>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</si>
  <si>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</si>
  <si>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illustrative synthetic data (booking/expense exports).</t>
  </si>
  <si>
    <t>Data-quality flag</t>
  </si>
  <si>
    <t>Clean Data is linked live to Raw Data. Flag column checks hotel-nights-to-traveller ratio for consistency.</t>
  </si>
  <si>
    <t>Activity</t>
  </si>
  <si>
    <t>Unit</t>
  </si>
  <si>
    <t>Illustrative factor</t>
  </si>
  <si>
    <t>Notes</t>
  </si>
  <si>
    <t>Air travel</t>
  </si>
  <si>
    <t>kgCO2e/passenger-km</t>
  </si>
  <si>
    <t>Illustrative screening factor; no radiative-forcing uplift applied</t>
  </si>
  <si>
    <t>Rail</t>
  </si>
  <si>
    <t>Illustrative screening factor</t>
  </si>
  <si>
    <t>Car</t>
  </si>
  <si>
    <t>kgCO2e/km</t>
  </si>
  <si>
    <t>Taxi</t>
  </si>
  <si>
    <t>Hotel</t>
  </si>
  <si>
    <t>kgCO2e/night</t>
  </si>
  <si>
    <t>Important</t>
  </si>
  <si>
    <t>Replace illustrative factors with the agreed methodology/source factors for real client work.</t>
  </si>
  <si>
    <t>Tracked travel distance (km)</t>
  </si>
  <si>
    <t>Travel emissions (tCO2e)</t>
  </si>
  <si>
    <t>kgCO2e/traveller</t>
  </si>
  <si>
    <t>Air share of emissions (%)</t>
  </si>
  <si>
    <t>KPI</t>
  </si>
  <si>
    <t>Value</t>
  </si>
  <si>
    <t>Interpretation</t>
  </si>
  <si>
    <t>Annual flight distance</t>
  </si>
  <si>
    <t>passenger-km</t>
  </si>
  <si>
    <t>Air is the dominant distance category in this illustrative dataset.</t>
  </si>
  <si>
    <t>Annual rail distance</t>
  </si>
  <si>
    <t>km</t>
  </si>
  <si>
    <t>Track alongside air mode share.</t>
  </si>
  <si>
    <t>Annual hotel nights</t>
  </si>
  <si>
    <t>nights</t>
  </si>
  <si>
    <t>Link to trip purpose/destination where appropriate.</t>
  </si>
  <si>
    <t>Annual travel emissions</t>
  </si>
  <si>
    <t>tCO2e</t>
  </si>
  <si>
    <t>Illustrative travel-emissions screening.</t>
  </si>
  <si>
    <t>Air share of annual emissions</t>
  </si>
  <si>
    <t>%</t>
  </si>
  <si>
    <t>Share of total travel emissions from flights alone.</t>
  </si>
  <si>
    <t>Emissions per traveller</t>
  </si>
  <si>
    <t>Useful trend KPI; depends on travel mix.</t>
  </si>
  <si>
    <t>Peak travel month</t>
  </si>
  <si>
    <t>month</t>
  </si>
  <si>
    <t>Highest-traveller month — likely conference/field-trip season.</t>
  </si>
  <si>
    <t>Summer dip (Jul/Aug vs annual avg travellers)</t>
  </si>
  <si>
    <t>How much lower travel is in the summer months vs the year's average.</t>
  </si>
  <si>
    <t>Hotel nights per traveller</t>
  </si>
  <si>
    <t>nights/traveller</t>
  </si>
  <si>
    <t>Should be close to 1.0 if data represents single-night-equivalent trips; deviation flags a reconciliation issue.</t>
  </si>
  <si>
    <t>ANNUAL TRAVEL EMISSIONS (tCO2e)</t>
  </si>
  <si>
    <t>AIR SHARE OF EMISSIONS</t>
  </si>
  <si>
    <t>EMISSIONS / TRAVELLER (kgCO2e)</t>
  </si>
  <si>
    <t>HOTEL NIGHTS / TRAVELLER</t>
  </si>
  <si>
    <t>Mode</t>
  </si>
  <si>
    <t>Annual tCO2e</t>
  </si>
  <si>
    <t>Air</t>
  </si>
  <si>
    <t>Data-quality flags</t>
  </si>
  <si>
    <t>Key insights</t>
  </si>
  <si>
    <t>Areas to investigate</t>
  </si>
  <si>
    <t>• Reconcile booking and expense data sources to confirm traveller counts and trip lengths.</t>
  </si>
  <si>
    <t>• Segment travel by purpose or organisational unit where appropriate to target reduction policy.</t>
  </si>
  <si>
    <t>Input needed</t>
  </si>
  <si>
    <t>Example / format</t>
  </si>
  <si>
    <t>Why it matters</t>
  </si>
  <si>
    <t>Status</t>
  </si>
  <si>
    <t>Source files</t>
  </si>
  <si>
    <t>Excel/CSV/PDF bills/exports</t>
  </si>
  <si>
    <t>Traceability and reconciliation</t>
  </si>
  <si>
    <t>To be supplied</t>
  </si>
  <si>
    <t>Reporting period</t>
  </si>
  <si>
    <t>e.g. Jan–Dec 2026</t>
  </si>
  <si>
    <t>Defines analysis boundary</t>
  </si>
  <si>
    <t>Activity data</t>
  </si>
  <si>
    <t>Production, area, occupancy, travel etc.</t>
  </si>
  <si>
    <t>Enables intensity KPIs</t>
  </si>
  <si>
    <t>Methodology / factors</t>
  </si>
  <si>
    <t>Client or agreed methodology</t>
  </si>
  <si>
    <t>Makes calculations reproducible</t>
  </si>
  <si>
    <t>To be agreed</t>
  </si>
  <si>
    <t>Known exclusions</t>
  </si>
  <si>
    <t>Missing sites, months or activities</t>
  </si>
  <si>
    <t>Prevents misleading completeness claims</t>
  </si>
  <si>
    <t>Peak travel month is Jun; Jul/Aug traveller volume is 55.6% below the annual average. a clear academic-calendar effect.</t>
  </si>
  <si>
    <t>• Track mode share alongside emissions: air dominates carbon despite not dominating trip count.</t>
  </si>
  <si>
    <t>• Air travel dominates the emissions profile even though it isn't the largest activity by trip count : combining mode, distance and emissions avoids a misleading total-only view.</t>
  </si>
  <si>
    <t>ILLUSTRATIVE PORTFOLIO SAMPLE - synthetic data for 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</si>
</sst>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9"/>
      <name val="Arial"/>
      <family val="2"/>
    </font>
    <font>
      <i/>
      <sz val="10"/>
      <color rgb="FF666666"/>
      <name val="Arial"/>
      <family val="2"/>
    </font>
    <font>
      <b/>
      <sz val="12"/>
      <color rgb="FF1F4E79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i/>
      <sz val="8"/>
      <color rgb="FF888888"/>
      <name val="Arial"/>
      <family val="2"/>
    </font>
    <font>
      <b/>
      <sz val="10"/>
      <color rgb="FFC00000"/>
      <name val="Arial"/>
      <family val="2"/>
    </font>
    <font>
      <i/>
      <sz val="9"/>
      <name val="Arial"/>
      <family val="2"/>
    </font>
    <font>
      <sz val="9"/>
      <color rgb="FF666666"/>
      <name val="Arial"/>
      <family val="2"/>
    </font>
    <font>
      <b/>
      <sz val="18"/>
      <color rgb="FF1F4E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8" fillId="0" borderId="0" xfId="0" applyFont="1"/>
    <xf numFmtId="0" fontId="5" fillId="0" borderId="1" xfId="0" applyFont="1" applyBorder="1"/>
    <xf numFmtId="3" fontId="5" fillId="0" borderId="1" xfId="0" applyNumberFormat="1" applyFont="1" applyBorder="1"/>
    <xf numFmtId="0" fontId="9" fillId="0" borderId="0" xfId="0" applyFont="1"/>
    <xf numFmtId="0" fontId="10" fillId="0" borderId="0" xfId="0" applyFont="1"/>
    <xf numFmtId="2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4" fontId="5" fillId="0" borderId="1" xfId="0" applyNumberFormat="1" applyFont="1" applyBorder="1"/>
    <xf numFmtId="0" fontId="11" fillId="3" borderId="1" xfId="0" applyFont="1" applyFill="1" applyBorder="1"/>
    <xf numFmtId="166" fontId="12" fillId="3" borderId="1" xfId="0" applyNumberFormat="1" applyFont="1" applyFill="1" applyBorder="1"/>
    <xf numFmtId="165" fontId="12" fillId="3" borderId="1" xfId="0" applyNumberFormat="1" applyFont="1" applyFill="1" applyBorder="1"/>
    <xf numFmtId="164" fontId="12" fillId="3" borderId="1" xfId="0" applyNumberFormat="1" applyFont="1" applyFill="1" applyBorder="1"/>
    <xf numFmtId="2" fontId="12" fillId="3" borderId="1" xfId="0" applyNumberFormat="1" applyFont="1" applyFill="1" applyBorder="1"/>
    <xf numFmtId="0" fontId="0" fillId="3" borderId="1" xfId="0" applyFill="1" applyBorder="1"/>
    <xf numFmtId="0" fontId="1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BB59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8064A2"/>
      <rgbColor rgb="FF888888"/>
      <rgbColor rgb="FF003366"/>
      <rgbColor rgb="FF4F81BD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Monthly travel distance by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29555013563626"/>
          <c:y val="0.16170736283850043"/>
          <c:w val="0.85097465219880042"/>
          <c:h val="0.63600928504513032"/>
        </c:manualLayout>
      </c:layout>
      <c:lineChart>
        <c:grouping val="standard"/>
        <c:varyColors val="0"/>
        <c:ser>
          <c:idx val="0"/>
          <c:order val="0"/>
          <c:tx>
            <c:strRef>
              <c:f>'02_Clean Data'!$B$1</c:f>
              <c:strCache>
                <c:ptCount val="1"/>
                <c:pt idx="0">
                  <c:v>Flights (passenger-km)</c:v>
                </c:pt>
              </c:strCache>
            </c:strRef>
          </c:tx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'02_Clean Data'!$B$2:$B$13</c:f>
              <c:numCache>
                <c:formatCode>#,##0</c:formatCode>
                <c:ptCount val="12"/>
                <c:pt idx="0">
                  <c:v>185000</c:v>
                </c:pt>
                <c:pt idx="1">
                  <c:v>172000</c:v>
                </c:pt>
                <c:pt idx="2">
                  <c:v>210000</c:v>
                </c:pt>
                <c:pt idx="3">
                  <c:v>198000</c:v>
                </c:pt>
                <c:pt idx="4">
                  <c:v>245000</c:v>
                </c:pt>
                <c:pt idx="5">
                  <c:v>260000</c:v>
                </c:pt>
                <c:pt idx="6">
                  <c:v>95000</c:v>
                </c:pt>
                <c:pt idx="7">
                  <c:v>72000</c:v>
                </c:pt>
                <c:pt idx="8">
                  <c:v>230000</c:v>
                </c:pt>
                <c:pt idx="9">
                  <c:v>215000</c:v>
                </c:pt>
                <c:pt idx="10">
                  <c:v>190000</c:v>
                </c:pt>
                <c:pt idx="11">
                  <c:v>225000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4-49D0-A423-F798B3279044}"/>
            </c:ext>
          </c:extLst>
        </c:ser>
        <c:ser>
          <c:idx val="1"/>
          <c:order val="1"/>
          <c:tx>
            <c:strRef>
              <c:f>'02_Clean Data'!$C$1</c:f>
              <c:strCache>
                <c:ptCount val="1"/>
                <c:pt idx="0">
                  <c:v>Rail (km)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'02_Clean Data'!$C$2:$C$13</c:f>
              <c:numCache>
                <c:formatCode>#,##0</c:formatCode>
                <c:ptCount val="12"/>
                <c:pt idx="0">
                  <c:v>42000</c:v>
                </c:pt>
                <c:pt idx="1">
                  <c:v>39000</c:v>
                </c:pt>
                <c:pt idx="2">
                  <c:v>51000</c:v>
                </c:pt>
                <c:pt idx="3">
                  <c:v>47000</c:v>
                </c:pt>
                <c:pt idx="4">
                  <c:v>56000</c:v>
                </c:pt>
                <c:pt idx="5">
                  <c:v>61000</c:v>
                </c:pt>
                <c:pt idx="6">
                  <c:v>18000</c:v>
                </c:pt>
                <c:pt idx="7">
                  <c:v>15000</c:v>
                </c:pt>
                <c:pt idx="8">
                  <c:v>52000</c:v>
                </c:pt>
                <c:pt idx="9">
                  <c:v>48000</c:v>
                </c:pt>
                <c:pt idx="10">
                  <c:v>44000</c:v>
                </c:pt>
                <c:pt idx="11">
                  <c:v>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4-49D0-A423-F798B3279044}"/>
            </c:ext>
          </c:extLst>
        </c:ser>
        <c:ser>
          <c:idx val="2"/>
          <c:order val="2"/>
          <c:tx>
            <c:strRef>
              <c:f>'02_Clean Data'!$D$1</c:f>
              <c:strCache>
                <c:ptCount val="1"/>
                <c:pt idx="0">
                  <c:v>Car (km)</c:v>
                </c:pt>
              </c:strCache>
            </c:strRef>
          </c:tx>
          <c:spPr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'02_Clean Data'!$D$2:$D$13</c:f>
              <c:numCache>
                <c:formatCode>#,##0</c:formatCode>
                <c:ptCount val="12"/>
                <c:pt idx="0">
                  <c:v>28000</c:v>
                </c:pt>
                <c:pt idx="1">
                  <c:v>26000</c:v>
                </c:pt>
                <c:pt idx="2">
                  <c:v>31000</c:v>
                </c:pt>
                <c:pt idx="3">
                  <c:v>29000</c:v>
                </c:pt>
                <c:pt idx="4">
                  <c:v>33000</c:v>
                </c:pt>
                <c:pt idx="5">
                  <c:v>35000</c:v>
                </c:pt>
                <c:pt idx="6">
                  <c:v>14000</c:v>
                </c:pt>
                <c:pt idx="7">
                  <c:v>11000</c:v>
                </c:pt>
                <c:pt idx="8">
                  <c:v>32000</c:v>
                </c:pt>
                <c:pt idx="9">
                  <c:v>30000</c:v>
                </c:pt>
                <c:pt idx="10">
                  <c:v>27000</c:v>
                </c:pt>
                <c:pt idx="11">
                  <c:v>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F4-49D0-A423-F798B3279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35595"/>
        <c:axId val="90911725"/>
      </c:lineChart>
      <c:catAx>
        <c:axId val="746355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50788603444414038"/>
              <c:y val="0.87161282896524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11725"/>
        <c:crosses val="autoZero"/>
        <c:auto val="1"/>
        <c:lblAlgn val="ctr"/>
        <c:lblOffset val="100"/>
        <c:noMultiLvlLbl val="0"/>
      </c:catAx>
      <c:valAx>
        <c:axId val="909117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5595"/>
        <c:crosses val="autoZero"/>
        <c:crossBetween val="between"/>
      </c:valAx>
      <c:spPr>
        <a:noFill/>
        <a:ln>
          <a:solidFill>
            <a:srgbClr val="D9D9D9"/>
          </a:solidFill>
          <a:prstDash val="solid"/>
        </a:ln>
        <a:effectLst/>
      </c:spPr>
    </c:plotArea>
    <c:legend>
      <c:legendPos val="t"/>
      <c:layout>
        <c:manualLayout>
          <c:xMode val="edge"/>
          <c:yMode val="edge"/>
          <c:x val="0.24212796470968867"/>
          <c:y val="0.92213135357697928"/>
          <c:w val="0.51574407058062266"/>
          <c:h val="6.85232493821160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travel emissions by mode (tCO2e)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'06_Dashboard'!$K$9</c:f>
              <c:strCache>
                <c:ptCount val="1"/>
                <c:pt idx="0">
                  <c:v>Annual tCO2e</c:v>
                </c:pt>
              </c:strCache>
            </c:strRef>
          </c:tx>
          <c:explosion val="6"/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0-43DB-B216-1BDADE8726D2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10-43DB-B216-1BDADE8726D2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10-43DB-B216-1BDADE8726D2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10-43DB-B216-1BDADE8726D2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210-43DB-B216-1BDADE8726D2}"/>
              </c:ext>
            </c:extLst>
          </c:dPt>
          <c:dLbls>
            <c:dLbl>
              <c:idx val="0"/>
              <c:layout>
                <c:manualLayout>
                  <c:x val="-0.16629591494957263"/>
                  <c:y val="-8.968941731082533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10-43DB-B216-1BDADE8726D2}"/>
                </c:ext>
              </c:extLst>
            </c:dLbl>
            <c:dLbl>
              <c:idx val="1"/>
              <c:dLblPos val="in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10-43DB-B216-1BDADE8726D2}"/>
                </c:ext>
              </c:extLst>
            </c:dLbl>
            <c:dLbl>
              <c:idx val="2"/>
              <c:dLblPos val="in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10-43DB-B216-1BDADE8726D2}"/>
                </c:ext>
              </c:extLst>
            </c:dLbl>
            <c:dLbl>
              <c:idx val="3"/>
              <c:layout>
                <c:manualLayout>
                  <c:x val="8.8458895188001638E-2"/>
                  <c:y val="8.31776375842028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210-43DB-B216-1BDADE8726D2}"/>
                </c:ext>
              </c:extLst>
            </c:dLbl>
            <c:dLbl>
              <c:idx val="4"/>
              <c:dLblPos val="in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210-43DB-B216-1BDADE8726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'06_Dashboard'!$J$10:$J$14</c:f>
              <c:strCache>
                <c:ptCount val="5"/>
                <c:pt idx="0">
                  <c:v>Air</c:v>
                </c:pt>
                <c:pt idx="1">
                  <c:v>Rail</c:v>
                </c:pt>
                <c:pt idx="2">
                  <c:v>Car</c:v>
                </c:pt>
                <c:pt idx="3">
                  <c:v>Taxi</c:v>
                </c:pt>
                <c:pt idx="4">
                  <c:v>Hotel</c:v>
                </c:pt>
              </c:strCache>
            </c:strRef>
          </c:cat>
          <c:val>
            <c:numRef>
              <c:f>'06_Dashboard'!$K$10:$K$14</c:f>
              <c:numCache>
                <c:formatCode>0.0</c:formatCode>
                <c:ptCount val="5"/>
                <c:pt idx="0">
                  <c:v>413.46</c:v>
                </c:pt>
                <c:pt idx="1">
                  <c:v>21.04</c:v>
                </c:pt>
                <c:pt idx="2">
                  <c:v>59.4</c:v>
                </c:pt>
                <c:pt idx="3">
                  <c:v>16.38</c:v>
                </c:pt>
                <c:pt idx="4">
                  <c:v>41.345999999999997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210-43DB-B216-1BDADE8726D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travellers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'04_Calculations'!$D$1</c:f>
              <c:strCache>
                <c:ptCount val="1"/>
                <c:pt idx="0">
                  <c:v>Travellers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'04_Calculations'!$D$2:$D$13</c:f>
              <c:numCache>
                <c:formatCode>General</c:formatCode>
                <c:ptCount val="12"/>
                <c:pt idx="0">
                  <c:v>190</c:v>
                </c:pt>
                <c:pt idx="1">
                  <c:v>176</c:v>
                </c:pt>
                <c:pt idx="2">
                  <c:v>214</c:v>
                </c:pt>
                <c:pt idx="3">
                  <c:v>202</c:v>
                </c:pt>
                <c:pt idx="4">
                  <c:v>250</c:v>
                </c:pt>
                <c:pt idx="5">
                  <c:v>266</c:v>
                </c:pt>
                <c:pt idx="6">
                  <c:v>98</c:v>
                </c:pt>
                <c:pt idx="7">
                  <c:v>76</c:v>
                </c:pt>
                <c:pt idx="8">
                  <c:v>235</c:v>
                </c:pt>
                <c:pt idx="9">
                  <c:v>220</c:v>
                </c:pt>
                <c:pt idx="10">
                  <c:v>195</c:v>
                </c:pt>
                <c:pt idx="11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7-460F-8058-78FF36ED5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900507"/>
        <c:axId val="184218"/>
      </c:lineChart>
      <c:catAx>
        <c:axId val="11900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218"/>
        <c:crosses val="autoZero"/>
        <c:auto val="1"/>
        <c:lblAlgn val="ctr"/>
        <c:lblOffset val="100"/>
        <c:noMultiLvlLbl val="0"/>
      </c:catAx>
      <c:valAx>
        <c:axId val="1842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travellers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900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41040</xdr:rowOff>
    </xdr:from>
    <xdr:to>
      <xdr:col>5</xdr:col>
      <xdr:colOff>840960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939800</xdr:colOff>
      <xdr:row>10</xdr:row>
      <xdr:rowOff>50800</xdr:rowOff>
    </xdr:from>
    <xdr:to>
      <xdr:col>9</xdr:col>
      <xdr:colOff>1255600</xdr:colOff>
      <xdr:row>27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119160</xdr:rowOff>
    </xdr:from>
    <xdr:to>
      <xdr:col>5</xdr:col>
      <xdr:colOff>840960</xdr:colOff>
      <xdr:row>34</xdr:row>
      <xdr:rowOff>182650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zoomScaleNormal="100" workbookViewId="0">
      <selection activeCell="A2" sqref="A2"/>
    </sheetView>
  </sheetViews>
  <sheetFormatPr defaultColWidth="8.6328125" defaultRowHeight="14.5" x14ac:dyDescent="0.35"/>
  <cols>
    <col min="1" max="1" width="14" customWidth="1"/>
    <col min="2" max="3" width="20" customWidth="1"/>
    <col min="4" max="8" width="14" customWidth="1"/>
  </cols>
  <sheetData>
    <row r="1" spans="1:8" ht="20" x14ac:dyDescent="0.4">
      <c r="A1" s="1" t="s">
        <v>0</v>
      </c>
    </row>
    <row r="2" spans="1:8" x14ac:dyDescent="0.35">
      <c r="A2" s="2" t="s">
        <v>113</v>
      </c>
    </row>
    <row r="4" spans="1:8" ht="15.5" x14ac:dyDescent="0.35">
      <c r="A4" s="3" t="s">
        <v>1</v>
      </c>
      <c r="B4" s="4" t="s">
        <v>2</v>
      </c>
    </row>
    <row r="6" spans="1:8" ht="15.5" x14ac:dyDescent="0.35">
      <c r="A6" s="3" t="s">
        <v>3</v>
      </c>
    </row>
    <row r="7" spans="1:8" ht="27.75" customHeight="1" x14ac:dyDescent="0.35">
      <c r="A7" s="22" t="s">
        <v>112</v>
      </c>
      <c r="B7" s="23"/>
      <c r="C7" s="23"/>
      <c r="D7" s="23"/>
      <c r="E7" s="23"/>
      <c r="F7" s="23"/>
      <c r="G7" s="23"/>
      <c r="H7" s="23"/>
    </row>
    <row r="8" spans="1:8" ht="27.75" customHeight="1" x14ac:dyDescent="0.35">
      <c r="A8" s="23" t="s">
        <v>4</v>
      </c>
      <c r="B8" s="23"/>
      <c r="C8" s="23"/>
      <c r="D8" s="23"/>
      <c r="E8" s="23"/>
      <c r="F8" s="23"/>
      <c r="G8" s="23"/>
      <c r="H8" s="23"/>
    </row>
    <row r="9" spans="1:8" ht="27.75" customHeight="1" x14ac:dyDescent="0.35">
      <c r="A9" s="23" t="s">
        <v>5</v>
      </c>
      <c r="B9" s="23"/>
      <c r="C9" s="23"/>
      <c r="D9" s="23"/>
      <c r="E9" s="23"/>
      <c r="F9" s="23"/>
      <c r="G9" s="23"/>
      <c r="H9" s="23"/>
    </row>
    <row r="10" spans="1:8" ht="27.75" customHeight="1" x14ac:dyDescent="0.35">
      <c r="A10" s="23" t="s">
        <v>6</v>
      </c>
      <c r="B10" s="23"/>
      <c r="C10" s="23"/>
      <c r="D10" s="23"/>
      <c r="E10" s="23"/>
      <c r="F10" s="23"/>
      <c r="G10" s="23"/>
      <c r="H10" s="23"/>
    </row>
  </sheetData>
  <mergeCells count="4">
    <mergeCell ref="A7:H7"/>
    <mergeCell ref="A8:H8"/>
    <mergeCell ref="A9:H9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zoomScaleNormal="100" workbookViewId="0">
      <selection activeCell="C7" sqref="C7"/>
    </sheetView>
  </sheetViews>
  <sheetFormatPr defaultColWidth="8.6328125" defaultRowHeight="14.5" x14ac:dyDescent="0.35"/>
  <cols>
    <col min="1" max="1" width="10" customWidth="1"/>
    <col min="2" max="2" width="22" customWidth="1"/>
    <col min="3" max="7" width="12" customWidth="1"/>
  </cols>
  <sheetData>
    <row r="1" spans="1:7" x14ac:dyDescent="0.3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</row>
    <row r="2" spans="1:7" x14ac:dyDescent="0.35">
      <c r="A2" s="6" t="s">
        <v>14</v>
      </c>
      <c r="B2" s="6">
        <v>185000</v>
      </c>
      <c r="C2" s="6">
        <v>42000</v>
      </c>
      <c r="D2" s="6">
        <v>28000</v>
      </c>
      <c r="E2" s="6">
        <v>185</v>
      </c>
      <c r="F2" s="6">
        <v>6500</v>
      </c>
      <c r="G2" s="6">
        <v>190</v>
      </c>
    </row>
    <row r="3" spans="1:7" x14ac:dyDescent="0.35">
      <c r="A3" s="6" t="s">
        <v>15</v>
      </c>
      <c r="B3" s="6">
        <v>172000</v>
      </c>
      <c r="C3" s="6">
        <v>39000</v>
      </c>
      <c r="D3" s="6">
        <v>26000</v>
      </c>
      <c r="E3" s="6">
        <v>172</v>
      </c>
      <c r="F3" s="6">
        <v>6100</v>
      </c>
      <c r="G3" s="6">
        <v>176</v>
      </c>
    </row>
    <row r="4" spans="1:7" x14ac:dyDescent="0.35">
      <c r="A4" s="6" t="s">
        <v>16</v>
      </c>
      <c r="B4" s="6">
        <v>210000</v>
      </c>
      <c r="C4" s="6">
        <v>51000</v>
      </c>
      <c r="D4" s="6">
        <v>31000</v>
      </c>
      <c r="E4" s="6">
        <v>210</v>
      </c>
      <c r="F4" s="6">
        <v>7200</v>
      </c>
      <c r="G4" s="6">
        <v>214</v>
      </c>
    </row>
    <row r="5" spans="1:7" x14ac:dyDescent="0.35">
      <c r="A5" s="6" t="s">
        <v>17</v>
      </c>
      <c r="B5" s="6">
        <v>198000</v>
      </c>
      <c r="C5" s="6">
        <v>47000</v>
      </c>
      <c r="D5" s="6">
        <v>29000</v>
      </c>
      <c r="E5" s="6">
        <v>198</v>
      </c>
      <c r="F5" s="6">
        <v>6800</v>
      </c>
      <c r="G5" s="6">
        <v>202</v>
      </c>
    </row>
    <row r="6" spans="1:7" x14ac:dyDescent="0.35">
      <c r="A6" s="6" t="s">
        <v>18</v>
      </c>
      <c r="B6" s="6">
        <v>245000</v>
      </c>
      <c r="C6" s="6">
        <v>56000</v>
      </c>
      <c r="D6" s="6">
        <v>33000</v>
      </c>
      <c r="E6" s="6">
        <v>245</v>
      </c>
      <c r="F6" s="6">
        <v>8100</v>
      </c>
      <c r="G6" s="6">
        <v>250</v>
      </c>
    </row>
    <row r="7" spans="1:7" x14ac:dyDescent="0.35">
      <c r="A7" s="6" t="s">
        <v>19</v>
      </c>
      <c r="B7" s="6">
        <v>260000</v>
      </c>
      <c r="C7" s="6">
        <v>61000</v>
      </c>
      <c r="D7" s="6">
        <v>35000</v>
      </c>
      <c r="E7" s="6">
        <v>260</v>
      </c>
      <c r="F7" s="6">
        <v>8500</v>
      </c>
      <c r="G7" s="6">
        <v>266</v>
      </c>
    </row>
    <row r="8" spans="1:7" x14ac:dyDescent="0.35">
      <c r="A8" s="6" t="s">
        <v>20</v>
      </c>
      <c r="B8" s="6">
        <v>95000</v>
      </c>
      <c r="C8" s="6">
        <v>18000</v>
      </c>
      <c r="D8" s="6">
        <v>14000</v>
      </c>
      <c r="E8" s="6">
        <v>95</v>
      </c>
      <c r="F8" s="6">
        <v>3100</v>
      </c>
      <c r="G8" s="6">
        <v>98</v>
      </c>
    </row>
    <row r="9" spans="1:7" x14ac:dyDescent="0.35">
      <c r="A9" s="6" t="s">
        <v>21</v>
      </c>
      <c r="B9" s="6">
        <v>72000</v>
      </c>
      <c r="C9" s="6">
        <v>15000</v>
      </c>
      <c r="D9" s="6">
        <v>11000</v>
      </c>
      <c r="E9" s="6">
        <v>72</v>
      </c>
      <c r="F9" s="6">
        <v>2500</v>
      </c>
      <c r="G9" s="6">
        <v>76</v>
      </c>
    </row>
    <row r="10" spans="1:7" x14ac:dyDescent="0.35">
      <c r="A10" s="6" t="s">
        <v>22</v>
      </c>
      <c r="B10" s="6">
        <v>230000</v>
      </c>
      <c r="C10" s="6">
        <v>52000</v>
      </c>
      <c r="D10" s="6">
        <v>32000</v>
      </c>
      <c r="E10" s="6">
        <v>230</v>
      </c>
      <c r="F10" s="6">
        <v>7900</v>
      </c>
      <c r="G10" s="6">
        <v>235</v>
      </c>
    </row>
    <row r="11" spans="1:7" x14ac:dyDescent="0.35">
      <c r="A11" s="6" t="s">
        <v>23</v>
      </c>
      <c r="B11" s="6">
        <v>215000</v>
      </c>
      <c r="C11" s="6">
        <v>48000</v>
      </c>
      <c r="D11" s="6">
        <v>30000</v>
      </c>
      <c r="E11" s="6">
        <v>215</v>
      </c>
      <c r="F11" s="6">
        <v>7300</v>
      </c>
      <c r="G11" s="6">
        <v>220</v>
      </c>
    </row>
    <row r="12" spans="1:7" x14ac:dyDescent="0.35">
      <c r="A12" s="6" t="s">
        <v>24</v>
      </c>
      <c r="B12" s="6">
        <v>190000</v>
      </c>
      <c r="C12" s="6">
        <v>44000</v>
      </c>
      <c r="D12" s="6">
        <v>27000</v>
      </c>
      <c r="E12" s="6">
        <v>190</v>
      </c>
      <c r="F12" s="6">
        <v>6400</v>
      </c>
      <c r="G12" s="6">
        <v>195</v>
      </c>
    </row>
    <row r="13" spans="1:7" x14ac:dyDescent="0.35">
      <c r="A13" s="6" t="s">
        <v>25</v>
      </c>
      <c r="B13" s="6">
        <v>225000</v>
      </c>
      <c r="C13" s="6">
        <v>53000</v>
      </c>
      <c r="D13" s="6">
        <v>34000</v>
      </c>
      <c r="E13" s="6">
        <v>225</v>
      </c>
      <c r="F13" s="6">
        <v>7600</v>
      </c>
      <c r="G13" s="6">
        <v>230</v>
      </c>
    </row>
    <row r="15" spans="1:7" x14ac:dyDescent="0.35">
      <c r="A15" s="7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22" customWidth="1"/>
    <col min="3" max="7" width="12" customWidth="1"/>
    <col min="8" max="8" width="42" customWidth="1"/>
  </cols>
  <sheetData>
    <row r="1" spans="1:8" x14ac:dyDescent="0.3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27</v>
      </c>
    </row>
    <row r="2" spans="1:8" x14ac:dyDescent="0.35">
      <c r="A2" s="8" t="str">
        <f>'01_Raw Data'!A2</f>
        <v>Jan</v>
      </c>
      <c r="B2" s="9">
        <f>'01_Raw Data'!B2</f>
        <v>185000</v>
      </c>
      <c r="C2" s="9">
        <f>'01_Raw Data'!C2</f>
        <v>42000</v>
      </c>
      <c r="D2" s="9">
        <f>'01_Raw Data'!D2</f>
        <v>28000</v>
      </c>
      <c r="E2" s="9">
        <f>'01_Raw Data'!E2</f>
        <v>185</v>
      </c>
      <c r="F2" s="9">
        <f>'01_Raw Data'!F2</f>
        <v>6500</v>
      </c>
      <c r="G2" s="8">
        <f>'01_Raw Data'!G2</f>
        <v>190</v>
      </c>
      <c r="H2" s="8" t="str">
        <f t="shared" ref="H2:H13" si="0">IF(ABS(E2-G2)&gt;20,"Hotel nights vs travellers gap &gt;20 — check trip-length assumption","OK")</f>
        <v>OK</v>
      </c>
    </row>
    <row r="3" spans="1:8" x14ac:dyDescent="0.35">
      <c r="A3" s="8" t="str">
        <f>'01_Raw Data'!A3</f>
        <v>Feb</v>
      </c>
      <c r="B3" s="9">
        <f>'01_Raw Data'!B3</f>
        <v>172000</v>
      </c>
      <c r="C3" s="9">
        <f>'01_Raw Data'!C3</f>
        <v>39000</v>
      </c>
      <c r="D3" s="9">
        <f>'01_Raw Data'!D3</f>
        <v>26000</v>
      </c>
      <c r="E3" s="9">
        <f>'01_Raw Data'!E3</f>
        <v>172</v>
      </c>
      <c r="F3" s="9">
        <f>'01_Raw Data'!F3</f>
        <v>6100</v>
      </c>
      <c r="G3" s="8">
        <f>'01_Raw Data'!G3</f>
        <v>176</v>
      </c>
      <c r="H3" s="8" t="str">
        <f t="shared" si="0"/>
        <v>OK</v>
      </c>
    </row>
    <row r="4" spans="1:8" x14ac:dyDescent="0.35">
      <c r="A4" s="8" t="str">
        <f>'01_Raw Data'!A4</f>
        <v>Mar</v>
      </c>
      <c r="B4" s="9">
        <f>'01_Raw Data'!B4</f>
        <v>210000</v>
      </c>
      <c r="C4" s="9">
        <f>'01_Raw Data'!C4</f>
        <v>51000</v>
      </c>
      <c r="D4" s="9">
        <f>'01_Raw Data'!D4</f>
        <v>31000</v>
      </c>
      <c r="E4" s="9">
        <f>'01_Raw Data'!E4</f>
        <v>210</v>
      </c>
      <c r="F4" s="9">
        <f>'01_Raw Data'!F4</f>
        <v>7200</v>
      </c>
      <c r="G4" s="8">
        <f>'01_Raw Data'!G4</f>
        <v>214</v>
      </c>
      <c r="H4" s="8" t="str">
        <f t="shared" si="0"/>
        <v>OK</v>
      </c>
    </row>
    <row r="5" spans="1:8" x14ac:dyDescent="0.35">
      <c r="A5" s="8" t="str">
        <f>'01_Raw Data'!A5</f>
        <v>Apr</v>
      </c>
      <c r="B5" s="9">
        <f>'01_Raw Data'!B5</f>
        <v>198000</v>
      </c>
      <c r="C5" s="9">
        <f>'01_Raw Data'!C5</f>
        <v>47000</v>
      </c>
      <c r="D5" s="9">
        <f>'01_Raw Data'!D5</f>
        <v>29000</v>
      </c>
      <c r="E5" s="9">
        <f>'01_Raw Data'!E5</f>
        <v>198</v>
      </c>
      <c r="F5" s="9">
        <f>'01_Raw Data'!F5</f>
        <v>6800</v>
      </c>
      <c r="G5" s="8">
        <f>'01_Raw Data'!G5</f>
        <v>202</v>
      </c>
      <c r="H5" s="8" t="str">
        <f t="shared" si="0"/>
        <v>OK</v>
      </c>
    </row>
    <row r="6" spans="1:8" x14ac:dyDescent="0.35">
      <c r="A6" s="8" t="str">
        <f>'01_Raw Data'!A6</f>
        <v>May</v>
      </c>
      <c r="B6" s="9">
        <f>'01_Raw Data'!B6</f>
        <v>245000</v>
      </c>
      <c r="C6" s="9">
        <f>'01_Raw Data'!C6</f>
        <v>56000</v>
      </c>
      <c r="D6" s="9">
        <f>'01_Raw Data'!D6</f>
        <v>33000</v>
      </c>
      <c r="E6" s="9">
        <f>'01_Raw Data'!E6</f>
        <v>245</v>
      </c>
      <c r="F6" s="9">
        <f>'01_Raw Data'!F6</f>
        <v>8100</v>
      </c>
      <c r="G6" s="8">
        <f>'01_Raw Data'!G6</f>
        <v>250</v>
      </c>
      <c r="H6" s="8" t="str">
        <f t="shared" si="0"/>
        <v>OK</v>
      </c>
    </row>
    <row r="7" spans="1:8" x14ac:dyDescent="0.35">
      <c r="A7" s="8" t="str">
        <f>'01_Raw Data'!A7</f>
        <v>Jun</v>
      </c>
      <c r="B7" s="9">
        <f>'01_Raw Data'!B7</f>
        <v>260000</v>
      </c>
      <c r="C7" s="9">
        <f>'01_Raw Data'!C7</f>
        <v>61000</v>
      </c>
      <c r="D7" s="9">
        <f>'01_Raw Data'!D7</f>
        <v>35000</v>
      </c>
      <c r="E7" s="9">
        <f>'01_Raw Data'!E7</f>
        <v>260</v>
      </c>
      <c r="F7" s="9">
        <f>'01_Raw Data'!F7</f>
        <v>8500</v>
      </c>
      <c r="G7" s="8">
        <f>'01_Raw Data'!G7</f>
        <v>266</v>
      </c>
      <c r="H7" s="8" t="str">
        <f t="shared" si="0"/>
        <v>OK</v>
      </c>
    </row>
    <row r="8" spans="1:8" x14ac:dyDescent="0.35">
      <c r="A8" s="8" t="str">
        <f>'01_Raw Data'!A8</f>
        <v>Jul</v>
      </c>
      <c r="B8" s="9">
        <f>'01_Raw Data'!B8</f>
        <v>95000</v>
      </c>
      <c r="C8" s="9">
        <f>'01_Raw Data'!C8</f>
        <v>18000</v>
      </c>
      <c r="D8" s="9">
        <f>'01_Raw Data'!D8</f>
        <v>14000</v>
      </c>
      <c r="E8" s="9">
        <f>'01_Raw Data'!E8</f>
        <v>95</v>
      </c>
      <c r="F8" s="9">
        <f>'01_Raw Data'!F8</f>
        <v>3100</v>
      </c>
      <c r="G8" s="8">
        <f>'01_Raw Data'!G8</f>
        <v>98</v>
      </c>
      <c r="H8" s="8" t="str">
        <f t="shared" si="0"/>
        <v>OK</v>
      </c>
    </row>
    <row r="9" spans="1:8" x14ac:dyDescent="0.35">
      <c r="A9" s="8" t="str">
        <f>'01_Raw Data'!A9</f>
        <v>Aug</v>
      </c>
      <c r="B9" s="9">
        <f>'01_Raw Data'!B9</f>
        <v>72000</v>
      </c>
      <c r="C9" s="9">
        <f>'01_Raw Data'!C9</f>
        <v>15000</v>
      </c>
      <c r="D9" s="9">
        <f>'01_Raw Data'!D9</f>
        <v>11000</v>
      </c>
      <c r="E9" s="9">
        <f>'01_Raw Data'!E9</f>
        <v>72</v>
      </c>
      <c r="F9" s="9">
        <f>'01_Raw Data'!F9</f>
        <v>2500</v>
      </c>
      <c r="G9" s="8">
        <f>'01_Raw Data'!G9</f>
        <v>76</v>
      </c>
      <c r="H9" s="8" t="str">
        <f t="shared" si="0"/>
        <v>OK</v>
      </c>
    </row>
    <row r="10" spans="1:8" x14ac:dyDescent="0.35">
      <c r="A10" s="8" t="str">
        <f>'01_Raw Data'!A10</f>
        <v>Sep</v>
      </c>
      <c r="B10" s="9">
        <f>'01_Raw Data'!B10</f>
        <v>230000</v>
      </c>
      <c r="C10" s="9">
        <f>'01_Raw Data'!C10</f>
        <v>52000</v>
      </c>
      <c r="D10" s="9">
        <f>'01_Raw Data'!D10</f>
        <v>32000</v>
      </c>
      <c r="E10" s="9">
        <f>'01_Raw Data'!E10</f>
        <v>230</v>
      </c>
      <c r="F10" s="9">
        <f>'01_Raw Data'!F10</f>
        <v>7900</v>
      </c>
      <c r="G10" s="8">
        <f>'01_Raw Data'!G10</f>
        <v>235</v>
      </c>
      <c r="H10" s="8" t="str">
        <f t="shared" si="0"/>
        <v>OK</v>
      </c>
    </row>
    <row r="11" spans="1:8" x14ac:dyDescent="0.35">
      <c r="A11" s="8" t="str">
        <f>'01_Raw Data'!A11</f>
        <v>Oct</v>
      </c>
      <c r="B11" s="9">
        <f>'01_Raw Data'!B11</f>
        <v>215000</v>
      </c>
      <c r="C11" s="9">
        <f>'01_Raw Data'!C11</f>
        <v>48000</v>
      </c>
      <c r="D11" s="9">
        <f>'01_Raw Data'!D11</f>
        <v>30000</v>
      </c>
      <c r="E11" s="9">
        <f>'01_Raw Data'!E11</f>
        <v>215</v>
      </c>
      <c r="F11" s="9">
        <f>'01_Raw Data'!F11</f>
        <v>7300</v>
      </c>
      <c r="G11" s="8">
        <f>'01_Raw Data'!G11</f>
        <v>220</v>
      </c>
      <c r="H11" s="8" t="str">
        <f t="shared" si="0"/>
        <v>OK</v>
      </c>
    </row>
    <row r="12" spans="1:8" x14ac:dyDescent="0.35">
      <c r="A12" s="8" t="str">
        <f>'01_Raw Data'!A12</f>
        <v>Nov</v>
      </c>
      <c r="B12" s="9">
        <f>'01_Raw Data'!B12</f>
        <v>190000</v>
      </c>
      <c r="C12" s="9">
        <f>'01_Raw Data'!C12</f>
        <v>44000</v>
      </c>
      <c r="D12" s="9">
        <f>'01_Raw Data'!D12</f>
        <v>27000</v>
      </c>
      <c r="E12" s="9">
        <f>'01_Raw Data'!E12</f>
        <v>190</v>
      </c>
      <c r="F12" s="9">
        <f>'01_Raw Data'!F12</f>
        <v>6400</v>
      </c>
      <c r="G12" s="8">
        <f>'01_Raw Data'!G12</f>
        <v>195</v>
      </c>
      <c r="H12" s="8" t="str">
        <f t="shared" si="0"/>
        <v>OK</v>
      </c>
    </row>
    <row r="13" spans="1:8" x14ac:dyDescent="0.35">
      <c r="A13" s="8" t="str">
        <f>'01_Raw Data'!A13</f>
        <v>Dec</v>
      </c>
      <c r="B13" s="9">
        <f>'01_Raw Data'!B13</f>
        <v>225000</v>
      </c>
      <c r="C13" s="9">
        <f>'01_Raw Data'!C13</f>
        <v>53000</v>
      </c>
      <c r="D13" s="9">
        <f>'01_Raw Data'!D13</f>
        <v>34000</v>
      </c>
      <c r="E13" s="9">
        <f>'01_Raw Data'!E13</f>
        <v>225</v>
      </c>
      <c r="F13" s="9">
        <f>'01_Raw Data'!F13</f>
        <v>7600</v>
      </c>
      <c r="G13" s="8">
        <f>'01_Raw Data'!G13</f>
        <v>230</v>
      </c>
      <c r="H13" s="8" t="str">
        <f t="shared" si="0"/>
        <v>OK</v>
      </c>
    </row>
    <row r="15" spans="1:8" x14ac:dyDescent="0.35">
      <c r="A15" s="7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Normal="100" workbookViewId="0"/>
  </sheetViews>
  <sheetFormatPr defaultColWidth="8.6328125" defaultRowHeight="14.5" x14ac:dyDescent="0.35"/>
  <cols>
    <col min="1" max="1" width="16" customWidth="1"/>
    <col min="2" max="2" width="22" customWidth="1"/>
    <col min="3" max="3" width="18" customWidth="1"/>
    <col min="4" max="4" width="50" customWidth="1"/>
  </cols>
  <sheetData>
    <row r="1" spans="1:4" x14ac:dyDescent="0.35">
      <c r="A1" s="5" t="s">
        <v>29</v>
      </c>
      <c r="B1" s="5" t="s">
        <v>30</v>
      </c>
      <c r="C1" s="5" t="s">
        <v>31</v>
      </c>
      <c r="D1" s="5" t="s">
        <v>32</v>
      </c>
    </row>
    <row r="2" spans="1:4" x14ac:dyDescent="0.35">
      <c r="A2" s="6" t="s">
        <v>33</v>
      </c>
      <c r="B2" s="6" t="s">
        <v>34</v>
      </c>
      <c r="C2" s="6">
        <v>0.18</v>
      </c>
      <c r="D2" s="6" t="s">
        <v>35</v>
      </c>
    </row>
    <row r="3" spans="1:4" x14ac:dyDescent="0.35">
      <c r="A3" s="6" t="s">
        <v>36</v>
      </c>
      <c r="B3" s="6" t="s">
        <v>34</v>
      </c>
      <c r="C3" s="6">
        <v>0.04</v>
      </c>
      <c r="D3" s="6" t="s">
        <v>37</v>
      </c>
    </row>
    <row r="4" spans="1:4" x14ac:dyDescent="0.35">
      <c r="A4" s="6" t="s">
        <v>38</v>
      </c>
      <c r="B4" s="6" t="s">
        <v>39</v>
      </c>
      <c r="C4" s="6">
        <v>0.18</v>
      </c>
      <c r="D4" s="6" t="s">
        <v>37</v>
      </c>
    </row>
    <row r="5" spans="1:4" x14ac:dyDescent="0.35">
      <c r="A5" s="6" t="s">
        <v>40</v>
      </c>
      <c r="B5" s="6" t="s">
        <v>39</v>
      </c>
      <c r="C5" s="6">
        <v>0.21</v>
      </c>
      <c r="D5" s="6" t="s">
        <v>37</v>
      </c>
    </row>
    <row r="6" spans="1:4" x14ac:dyDescent="0.35">
      <c r="A6" s="6" t="s">
        <v>41</v>
      </c>
      <c r="B6" s="6" t="s">
        <v>42</v>
      </c>
      <c r="C6" s="6">
        <v>18</v>
      </c>
      <c r="D6" s="6" t="s">
        <v>37</v>
      </c>
    </row>
    <row r="7" spans="1:4" x14ac:dyDescent="0.35">
      <c r="A7" s="10" t="s">
        <v>43</v>
      </c>
      <c r="D7" s="11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zoomScaleNormal="100" workbookViewId="0"/>
  </sheetViews>
  <sheetFormatPr defaultColWidth="8.6328125" defaultRowHeight="14.5" x14ac:dyDescent="0.35"/>
  <cols>
    <col min="1" max="1" width="8" customWidth="1"/>
    <col min="2" max="2" width="22" customWidth="1"/>
    <col min="3" max="4" width="12" customWidth="1"/>
    <col min="5" max="5" width="18" customWidth="1"/>
    <col min="6" max="6" width="16" customWidth="1"/>
    <col min="7" max="7" width="20" customWidth="1"/>
  </cols>
  <sheetData>
    <row r="1" spans="1:7" ht="26" x14ac:dyDescent="0.35">
      <c r="A1" s="5" t="s">
        <v>7</v>
      </c>
      <c r="B1" s="5" t="s">
        <v>45</v>
      </c>
      <c r="C1" s="5" t="s">
        <v>11</v>
      </c>
      <c r="D1" s="5" t="s">
        <v>13</v>
      </c>
      <c r="E1" s="5" t="s">
        <v>46</v>
      </c>
      <c r="F1" s="5" t="s">
        <v>47</v>
      </c>
      <c r="G1" s="5" t="s">
        <v>48</v>
      </c>
    </row>
    <row r="2" spans="1:7" x14ac:dyDescent="0.35">
      <c r="A2" s="8" t="str">
        <f>'02_Clean Data'!A2</f>
        <v>Jan</v>
      </c>
      <c r="B2" s="9">
        <f>'02_Clean Data'!B2+'02_Clean Data'!C2+'02_Clean Data'!D2</f>
        <v>255000</v>
      </c>
      <c r="C2" s="9">
        <f>'02_Clean Data'!E2</f>
        <v>185</v>
      </c>
      <c r="D2" s="8">
        <f>'02_Clean Data'!G2</f>
        <v>190</v>
      </c>
      <c r="E2" s="12">
        <f>'02_Clean Data'!B2*'03_Emission Factors'!$C$2/1000+'02_Clean Data'!C2*'03_Emission Factors'!$C$3/1000+'02_Clean Data'!D2*'03_Emission Factors'!$C$4/1000+'02_Clean Data'!F2*'03_Emission Factors'!$C$5/1000+'02_Clean Data'!E2*'03_Emission Factors'!$C$6/1000</f>
        <v>44.714999999999996</v>
      </c>
      <c r="F2" s="13">
        <f t="shared" ref="F2:F13" si="0">E2*1000/D2</f>
        <v>235.34210526315786</v>
      </c>
      <c r="G2" s="14">
        <f>('02_Clean Data'!B2*'03_Emission Factors'!$C$2/1000)/E2</f>
        <v>0.74471653807447169</v>
      </c>
    </row>
    <row r="3" spans="1:7" x14ac:dyDescent="0.35">
      <c r="A3" s="8" t="str">
        <f>'02_Clean Data'!A3</f>
        <v>Feb</v>
      </c>
      <c r="B3" s="9">
        <f>'02_Clean Data'!B3+'02_Clean Data'!C3+'02_Clean Data'!D3</f>
        <v>237000</v>
      </c>
      <c r="C3" s="9">
        <f>'02_Clean Data'!E3</f>
        <v>172</v>
      </c>
      <c r="D3" s="8">
        <f>'02_Clean Data'!G3</f>
        <v>176</v>
      </c>
      <c r="E3" s="12">
        <f>'02_Clean Data'!B3*'03_Emission Factors'!$C$2/1000+'02_Clean Data'!C3*'03_Emission Factors'!$C$3/1000+'02_Clean Data'!D3*'03_Emission Factors'!$C$4/1000+'02_Clean Data'!F3*'03_Emission Factors'!$C$5/1000+'02_Clean Data'!E3*'03_Emission Factors'!$C$6/1000</f>
        <v>41.576999999999998</v>
      </c>
      <c r="F3" s="13">
        <f t="shared" si="0"/>
        <v>236.23295454545453</v>
      </c>
      <c r="G3" s="14">
        <f>('02_Clean Data'!B3*'03_Emission Factors'!$C$2/1000)/E3</f>
        <v>0.74464247059672417</v>
      </c>
    </row>
    <row r="4" spans="1:7" x14ac:dyDescent="0.35">
      <c r="A4" s="8" t="str">
        <f>'02_Clean Data'!A4</f>
        <v>Mar</v>
      </c>
      <c r="B4" s="9">
        <f>'02_Clean Data'!B4+'02_Clean Data'!C4+'02_Clean Data'!D4</f>
        <v>292000</v>
      </c>
      <c r="C4" s="9">
        <f>'02_Clean Data'!E4</f>
        <v>210</v>
      </c>
      <c r="D4" s="8">
        <f>'02_Clean Data'!G4</f>
        <v>214</v>
      </c>
      <c r="E4" s="12">
        <f>'02_Clean Data'!B4*'03_Emission Factors'!$C$2/1000+'02_Clean Data'!C4*'03_Emission Factors'!$C$3/1000+'02_Clean Data'!D4*'03_Emission Factors'!$C$4/1000+'02_Clean Data'!F4*'03_Emission Factors'!$C$5/1000+'02_Clean Data'!E4*'03_Emission Factors'!$C$6/1000</f>
        <v>50.711999999999996</v>
      </c>
      <c r="F4" s="13">
        <f t="shared" si="0"/>
        <v>236.9719626168224</v>
      </c>
      <c r="G4" s="14">
        <f>('02_Clean Data'!B4*'03_Emission Factors'!$C$2/1000)/E4</f>
        <v>0.74538570752484623</v>
      </c>
    </row>
    <row r="5" spans="1:7" x14ac:dyDescent="0.35">
      <c r="A5" s="8" t="str">
        <f>'02_Clean Data'!A5</f>
        <v>Apr</v>
      </c>
      <c r="B5" s="9">
        <f>'02_Clean Data'!B5+'02_Clean Data'!C5+'02_Clean Data'!D5</f>
        <v>274000</v>
      </c>
      <c r="C5" s="9">
        <f>'02_Clean Data'!E5</f>
        <v>198</v>
      </c>
      <c r="D5" s="8">
        <f>'02_Clean Data'!G5</f>
        <v>202</v>
      </c>
      <c r="E5" s="12">
        <f>'02_Clean Data'!B5*'03_Emission Factors'!$C$2/1000+'02_Clean Data'!C5*'03_Emission Factors'!$C$3/1000+'02_Clean Data'!D5*'03_Emission Factors'!$C$4/1000+'02_Clean Data'!F5*'03_Emission Factors'!$C$5/1000+'02_Clean Data'!E5*'03_Emission Factors'!$C$6/1000</f>
        <v>47.731999999999999</v>
      </c>
      <c r="F5" s="13">
        <f t="shared" si="0"/>
        <v>236.29702970297029</v>
      </c>
      <c r="G5" s="14">
        <f>('02_Clean Data'!B5*'03_Emission Factors'!$C$2/1000)/E5</f>
        <v>0.74666890136595998</v>
      </c>
    </row>
    <row r="6" spans="1:7" x14ac:dyDescent="0.35">
      <c r="A6" s="8" t="str">
        <f>'02_Clean Data'!A6</f>
        <v>May</v>
      </c>
      <c r="B6" s="9">
        <f>'02_Clean Data'!B6+'02_Clean Data'!C6+'02_Clean Data'!D6</f>
        <v>334000</v>
      </c>
      <c r="C6" s="9">
        <f>'02_Clean Data'!E6</f>
        <v>245</v>
      </c>
      <c r="D6" s="8">
        <f>'02_Clean Data'!G6</f>
        <v>250</v>
      </c>
      <c r="E6" s="12">
        <f>'02_Clean Data'!B6*'03_Emission Factors'!$C$2/1000+'02_Clean Data'!C6*'03_Emission Factors'!$C$3/1000+'02_Clean Data'!D6*'03_Emission Factors'!$C$4/1000+'02_Clean Data'!F6*'03_Emission Factors'!$C$5/1000+'02_Clean Data'!E6*'03_Emission Factors'!$C$6/1000</f>
        <v>58.391000000000005</v>
      </c>
      <c r="F6" s="13">
        <f t="shared" si="0"/>
        <v>233.56400000000002</v>
      </c>
      <c r="G6" s="14">
        <f>('02_Clean Data'!B6*'03_Emission Factors'!$C$2/1000)/E6</f>
        <v>0.75525337808908899</v>
      </c>
    </row>
    <row r="7" spans="1:7" x14ac:dyDescent="0.35">
      <c r="A7" s="8" t="str">
        <f>'02_Clean Data'!A7</f>
        <v>Jun</v>
      </c>
      <c r="B7" s="9">
        <f>'02_Clean Data'!B7+'02_Clean Data'!C7+'02_Clean Data'!D7</f>
        <v>356000</v>
      </c>
      <c r="C7" s="9">
        <f>'02_Clean Data'!E7</f>
        <v>260</v>
      </c>
      <c r="D7" s="8">
        <f>'02_Clean Data'!G7</f>
        <v>266</v>
      </c>
      <c r="E7" s="12">
        <f>'02_Clean Data'!B7*'03_Emission Factors'!$C$2/1000+'02_Clean Data'!C7*'03_Emission Factors'!$C$3/1000+'02_Clean Data'!D7*'03_Emission Factors'!$C$4/1000+'02_Clean Data'!F7*'03_Emission Factors'!$C$5/1000+'02_Clean Data'!E7*'03_Emission Factors'!$C$6/1000</f>
        <v>62.004999999999988</v>
      </c>
      <c r="F7" s="13">
        <f t="shared" si="0"/>
        <v>233.10150375939844</v>
      </c>
      <c r="G7" s="14">
        <f>('02_Clean Data'!B7*'03_Emission Factors'!$C$2/1000)/E7</f>
        <v>0.75477784049673424</v>
      </c>
    </row>
    <row r="8" spans="1:7" x14ac:dyDescent="0.35">
      <c r="A8" s="8" t="str">
        <f>'02_Clean Data'!A8</f>
        <v>Jul</v>
      </c>
      <c r="B8" s="9">
        <f>'02_Clean Data'!B8+'02_Clean Data'!C8+'02_Clean Data'!D8</f>
        <v>127000</v>
      </c>
      <c r="C8" s="9">
        <f>'02_Clean Data'!E8</f>
        <v>95</v>
      </c>
      <c r="D8" s="8">
        <f>'02_Clean Data'!G8</f>
        <v>98</v>
      </c>
      <c r="E8" s="12">
        <f>'02_Clean Data'!B8*'03_Emission Factors'!$C$2/1000+'02_Clean Data'!C8*'03_Emission Factors'!$C$3/1000+'02_Clean Data'!D8*'03_Emission Factors'!$C$4/1000+'02_Clean Data'!F8*'03_Emission Factors'!$C$5/1000+'02_Clean Data'!E8*'03_Emission Factors'!$C$6/1000</f>
        <v>22.701000000000001</v>
      </c>
      <c r="F8" s="13">
        <f t="shared" si="0"/>
        <v>231.64285714285714</v>
      </c>
      <c r="G8" s="14">
        <f>('02_Clean Data'!B8*'03_Emission Factors'!$C$2/1000)/E8</f>
        <v>0.75327078102286249</v>
      </c>
    </row>
    <row r="9" spans="1:7" x14ac:dyDescent="0.35">
      <c r="A9" s="8" t="str">
        <f>'02_Clean Data'!A9</f>
        <v>Aug</v>
      </c>
      <c r="B9" s="9">
        <f>'02_Clean Data'!B9+'02_Clean Data'!C9+'02_Clean Data'!D9</f>
        <v>98000</v>
      </c>
      <c r="C9" s="9">
        <f>'02_Clean Data'!E9</f>
        <v>72</v>
      </c>
      <c r="D9" s="8">
        <f>'02_Clean Data'!G9</f>
        <v>76</v>
      </c>
      <c r="E9" s="12">
        <f>'02_Clean Data'!B9*'03_Emission Factors'!$C$2/1000+'02_Clean Data'!C9*'03_Emission Factors'!$C$3/1000+'02_Clean Data'!D9*'03_Emission Factors'!$C$4/1000+'02_Clean Data'!F9*'03_Emission Factors'!$C$5/1000+'02_Clean Data'!E9*'03_Emission Factors'!$C$6/1000</f>
        <v>17.361000000000001</v>
      </c>
      <c r="F9" s="13">
        <f t="shared" si="0"/>
        <v>228.43421052631578</v>
      </c>
      <c r="G9" s="14">
        <f>('02_Clean Data'!B9*'03_Emission Factors'!$C$2/1000)/E9</f>
        <v>0.74650077760497668</v>
      </c>
    </row>
    <row r="10" spans="1:7" x14ac:dyDescent="0.35">
      <c r="A10" s="8" t="str">
        <f>'02_Clean Data'!A10</f>
        <v>Sep</v>
      </c>
      <c r="B10" s="9">
        <f>'02_Clean Data'!B10+'02_Clean Data'!C10+'02_Clean Data'!D10</f>
        <v>314000</v>
      </c>
      <c r="C10" s="9">
        <f>'02_Clean Data'!E10</f>
        <v>230</v>
      </c>
      <c r="D10" s="8">
        <f>'02_Clean Data'!G10</f>
        <v>235</v>
      </c>
      <c r="E10" s="12">
        <f>'02_Clean Data'!B10*'03_Emission Factors'!$C$2/1000+'02_Clean Data'!C10*'03_Emission Factors'!$C$3/1000+'02_Clean Data'!D10*'03_Emission Factors'!$C$4/1000+'02_Clean Data'!F10*'03_Emission Factors'!$C$5/1000+'02_Clean Data'!E10*'03_Emission Factors'!$C$6/1000</f>
        <v>55.038999999999994</v>
      </c>
      <c r="F10" s="13">
        <f t="shared" si="0"/>
        <v>234.20851063829784</v>
      </c>
      <c r="G10" s="14">
        <f>('02_Clean Data'!B10*'03_Emission Factors'!$C$2/1000)/E10</f>
        <v>0.75219389887170918</v>
      </c>
    </row>
    <row r="11" spans="1:7" x14ac:dyDescent="0.35">
      <c r="A11" s="8" t="str">
        <f>'02_Clean Data'!A11</f>
        <v>Oct</v>
      </c>
      <c r="B11" s="9">
        <f>'02_Clean Data'!B11+'02_Clean Data'!C11+'02_Clean Data'!D11</f>
        <v>293000</v>
      </c>
      <c r="C11" s="9">
        <f>'02_Clean Data'!E11</f>
        <v>215</v>
      </c>
      <c r="D11" s="8">
        <f>'02_Clean Data'!G11</f>
        <v>220</v>
      </c>
      <c r="E11" s="12">
        <f>'02_Clean Data'!B11*'03_Emission Factors'!$C$2/1000+'02_Clean Data'!C11*'03_Emission Factors'!$C$3/1000+'02_Clean Data'!D11*'03_Emission Factors'!$C$4/1000+'02_Clean Data'!F11*'03_Emission Factors'!$C$5/1000+'02_Clean Data'!E11*'03_Emission Factors'!$C$6/1000</f>
        <v>51.423000000000002</v>
      </c>
      <c r="F11" s="13">
        <f t="shared" si="0"/>
        <v>233.7409090909091</v>
      </c>
      <c r="G11" s="14">
        <f>('02_Clean Data'!B11*'03_Emission Factors'!$C$2/1000)/E11</f>
        <v>0.75258152966571379</v>
      </c>
    </row>
    <row r="12" spans="1:7" x14ac:dyDescent="0.35">
      <c r="A12" s="8" t="str">
        <f>'02_Clean Data'!A12</f>
        <v>Nov</v>
      </c>
      <c r="B12" s="9">
        <f>'02_Clean Data'!B12+'02_Clean Data'!C12+'02_Clean Data'!D12</f>
        <v>261000</v>
      </c>
      <c r="C12" s="9">
        <f>'02_Clean Data'!E12</f>
        <v>190</v>
      </c>
      <c r="D12" s="8">
        <f>'02_Clean Data'!G12</f>
        <v>195</v>
      </c>
      <c r="E12" s="12">
        <f>'02_Clean Data'!B12*'03_Emission Factors'!$C$2/1000+'02_Clean Data'!C12*'03_Emission Factors'!$C$3/1000+'02_Clean Data'!D12*'03_Emission Factors'!$C$4/1000+'02_Clean Data'!F12*'03_Emission Factors'!$C$5/1000+'02_Clean Data'!E12*'03_Emission Factors'!$C$6/1000</f>
        <v>45.584000000000003</v>
      </c>
      <c r="F12" s="13">
        <f t="shared" si="0"/>
        <v>233.76410256410256</v>
      </c>
      <c r="G12" s="14">
        <f>('02_Clean Data'!B12*'03_Emission Factors'!$C$2/1000)/E12</f>
        <v>0.75026325026325025</v>
      </c>
    </row>
    <row r="13" spans="1:7" x14ac:dyDescent="0.35">
      <c r="A13" s="8" t="str">
        <f>'02_Clean Data'!A13</f>
        <v>Dec</v>
      </c>
      <c r="B13" s="9">
        <f>'02_Clean Data'!B13+'02_Clean Data'!C13+'02_Clean Data'!D13</f>
        <v>312000</v>
      </c>
      <c r="C13" s="9">
        <f>'02_Clean Data'!E13</f>
        <v>225</v>
      </c>
      <c r="D13" s="8">
        <f>'02_Clean Data'!G13</f>
        <v>230</v>
      </c>
      <c r="E13" s="12">
        <f>'02_Clean Data'!B13*'03_Emission Factors'!$C$2/1000+'02_Clean Data'!C13*'03_Emission Factors'!$C$3/1000+'02_Clean Data'!D13*'03_Emission Factors'!$C$4/1000+'02_Clean Data'!F13*'03_Emission Factors'!$C$5/1000+'02_Clean Data'!E13*'03_Emission Factors'!$C$6/1000</f>
        <v>54.385999999999996</v>
      </c>
      <c r="F13" s="13">
        <f t="shared" si="0"/>
        <v>236.46086956521737</v>
      </c>
      <c r="G13" s="14">
        <f>('02_Clean Data'!B13*'03_Emission Factors'!$C$2/1000)/E13</f>
        <v>0.74467693891810394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Normal="100" workbookViewId="0"/>
  </sheetViews>
  <sheetFormatPr defaultColWidth="8.6328125" defaultRowHeight="14.5" x14ac:dyDescent="0.35"/>
  <cols>
    <col min="1" max="1" width="40" customWidth="1"/>
    <col min="2" max="2" width="16" customWidth="1"/>
    <col min="3" max="3" width="20" customWidth="1"/>
    <col min="4" max="4" width="56" customWidth="1"/>
  </cols>
  <sheetData>
    <row r="1" spans="1:4" x14ac:dyDescent="0.35">
      <c r="A1" s="5" t="s">
        <v>49</v>
      </c>
      <c r="B1" s="5" t="s">
        <v>50</v>
      </c>
      <c r="C1" s="5" t="s">
        <v>30</v>
      </c>
      <c r="D1" s="5" t="s">
        <v>51</v>
      </c>
    </row>
    <row r="2" spans="1:4" x14ac:dyDescent="0.35">
      <c r="A2" s="8" t="s">
        <v>52</v>
      </c>
      <c r="B2" s="15">
        <f>SUM('02_Clean Data'!B2:B13)</f>
        <v>2297000</v>
      </c>
      <c r="C2" s="8" t="s">
        <v>53</v>
      </c>
      <c r="D2" s="8" t="s">
        <v>54</v>
      </c>
    </row>
    <row r="3" spans="1:4" x14ac:dyDescent="0.35">
      <c r="A3" s="8" t="s">
        <v>55</v>
      </c>
      <c r="B3" s="15">
        <f>SUM('02_Clean Data'!C2:C13)</f>
        <v>526000</v>
      </c>
      <c r="C3" s="8" t="s">
        <v>56</v>
      </c>
      <c r="D3" s="8" t="s">
        <v>57</v>
      </c>
    </row>
    <row r="4" spans="1:4" x14ac:dyDescent="0.35">
      <c r="A4" s="8" t="s">
        <v>58</v>
      </c>
      <c r="B4" s="15">
        <f>SUM('02_Clean Data'!E2:E13)</f>
        <v>2297</v>
      </c>
      <c r="C4" s="8" t="s">
        <v>59</v>
      </c>
      <c r="D4" s="8" t="s">
        <v>60</v>
      </c>
    </row>
    <row r="5" spans="1:4" x14ac:dyDescent="0.35">
      <c r="A5" s="8" t="s">
        <v>61</v>
      </c>
      <c r="B5" s="15">
        <f>SUM('04_Calculations'!E2:E13)</f>
        <v>551.62599999999998</v>
      </c>
      <c r="C5" s="8" t="s">
        <v>62</v>
      </c>
      <c r="D5" s="8" t="s">
        <v>63</v>
      </c>
    </row>
    <row r="6" spans="1:4" x14ac:dyDescent="0.35">
      <c r="A6" s="8" t="s">
        <v>64</v>
      </c>
      <c r="B6" s="14">
        <f>SUMPRODUCT('02_Clean Data'!B2:B13*'03_Emission Factors'!$C$2/1000)/B5</f>
        <v>0.74952957257272124</v>
      </c>
      <c r="C6" s="8" t="s">
        <v>65</v>
      </c>
      <c r="D6" s="8" t="s">
        <v>66</v>
      </c>
    </row>
    <row r="7" spans="1:4" x14ac:dyDescent="0.35">
      <c r="A7" s="8" t="s">
        <v>67</v>
      </c>
      <c r="B7" s="15">
        <f>B5*1000/SUM('02_Clean Data'!G2:G13)</f>
        <v>234.53486394557822</v>
      </c>
      <c r="C7" s="8" t="s">
        <v>47</v>
      </c>
      <c r="D7" s="8" t="s">
        <v>68</v>
      </c>
    </row>
    <row r="8" spans="1:4" x14ac:dyDescent="0.35">
      <c r="A8" s="8" t="s">
        <v>69</v>
      </c>
      <c r="B8" s="15" t="str">
        <f>INDEX('02_Clean Data'!A2:A13,MATCH(MAX('02_Clean Data'!G2:G13),'02_Clean Data'!G2:G13,0))</f>
        <v>Jun</v>
      </c>
      <c r="C8" s="8" t="s">
        <v>70</v>
      </c>
      <c r="D8" s="8" t="s">
        <v>71</v>
      </c>
    </row>
    <row r="9" spans="1:4" x14ac:dyDescent="0.35">
      <c r="A9" s="8" t="s">
        <v>72</v>
      </c>
      <c r="B9" s="14">
        <f>AVERAGE('02_Clean Data'!G8:G9)/AVERAGE('02_Clean Data'!G2:G13)-1</f>
        <v>-0.55612244897959184</v>
      </c>
      <c r="C9" s="8" t="s">
        <v>65</v>
      </c>
      <c r="D9" s="8" t="s">
        <v>73</v>
      </c>
    </row>
    <row r="10" spans="1:4" x14ac:dyDescent="0.35">
      <c r="A10" s="8" t="s">
        <v>74</v>
      </c>
      <c r="B10" s="8">
        <f>B4/SUM('02_Clean Data'!G2:G13)</f>
        <v>0.97661564625850339</v>
      </c>
      <c r="C10" s="8" t="s">
        <v>75</v>
      </c>
      <c r="D10" s="8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7"/>
  <sheetViews>
    <sheetView tabSelected="1" zoomScaleNormal="100" workbookViewId="0">
      <selection activeCell="I3" sqref="I3"/>
    </sheetView>
  </sheetViews>
  <sheetFormatPr defaultColWidth="8.6328125" defaultRowHeight="14.5" x14ac:dyDescent="0.35"/>
  <cols>
    <col min="1" max="8" width="16" customWidth="1"/>
    <col min="9" max="9" width="14" customWidth="1"/>
    <col min="10" max="10" width="22" customWidth="1"/>
  </cols>
  <sheetData>
    <row r="1" spans="1:11" ht="20" x14ac:dyDescent="0.4">
      <c r="A1" s="1" t="s">
        <v>0</v>
      </c>
    </row>
    <row r="2" spans="1:11" x14ac:dyDescent="0.35">
      <c r="A2" s="2"/>
    </row>
    <row r="4" spans="1:11" x14ac:dyDescent="0.35">
      <c r="A4" s="16" t="s">
        <v>77</v>
      </c>
      <c r="C4" s="16" t="s">
        <v>78</v>
      </c>
      <c r="E4" s="16" t="s">
        <v>79</v>
      </c>
      <c r="G4" s="16" t="s">
        <v>80</v>
      </c>
    </row>
    <row r="5" spans="1:11" ht="23" x14ac:dyDescent="0.5">
      <c r="A5" s="17">
        <f>'05_KPIs'!B5</f>
        <v>551.62599999999998</v>
      </c>
      <c r="C5" s="18">
        <f>'05_KPIs'!B6</f>
        <v>0.74952957257272124</v>
      </c>
      <c r="E5" s="19">
        <f>'05_KPIs'!B7</f>
        <v>234.53486394557822</v>
      </c>
      <c r="G5" s="20">
        <f>'05_KPIs'!B10</f>
        <v>0.97661564625850339</v>
      </c>
    </row>
    <row r="6" spans="1:11" x14ac:dyDescent="0.35">
      <c r="A6" s="21"/>
      <c r="C6" s="21"/>
      <c r="E6" s="21"/>
      <c r="G6" s="21"/>
    </row>
    <row r="9" spans="1:11" ht="26" x14ac:dyDescent="0.35">
      <c r="J9" s="5" t="s">
        <v>81</v>
      </c>
      <c r="K9" s="5" t="s">
        <v>82</v>
      </c>
    </row>
    <row r="10" spans="1:11" x14ac:dyDescent="0.35">
      <c r="J10" s="8" t="s">
        <v>83</v>
      </c>
      <c r="K10" s="13">
        <f>SUM('02_Clean Data'!B2:B13)*'03_Emission Factors'!$C$2/1000</f>
        <v>413.46</v>
      </c>
    </row>
    <row r="11" spans="1:11" x14ac:dyDescent="0.35">
      <c r="J11" s="8" t="s">
        <v>36</v>
      </c>
      <c r="K11" s="13">
        <f>SUM('02_Clean Data'!C2:C13)*'03_Emission Factors'!$C$3/1000</f>
        <v>21.04</v>
      </c>
    </row>
    <row r="12" spans="1:11" x14ac:dyDescent="0.35">
      <c r="J12" s="8" t="s">
        <v>38</v>
      </c>
      <c r="K12" s="13">
        <f>SUM('02_Clean Data'!D2:D13)*'03_Emission Factors'!$C$4/1000</f>
        <v>59.4</v>
      </c>
    </row>
    <row r="13" spans="1:11" x14ac:dyDescent="0.35">
      <c r="J13" s="8" t="s">
        <v>40</v>
      </c>
      <c r="K13" s="13">
        <f>SUM('02_Clean Data'!F2:F13)*'03_Emission Factors'!$C$5/1000</f>
        <v>16.38</v>
      </c>
    </row>
    <row r="14" spans="1:11" x14ac:dyDescent="0.35">
      <c r="J14" s="8" t="s">
        <v>41</v>
      </c>
      <c r="K14" s="13">
        <f>SUM('02_Clean Data'!E2:E13)*'03_Emission Factors'!$C$6/1000</f>
        <v>41.345999999999997</v>
      </c>
    </row>
    <row r="26" spans="10:15" ht="15.5" x14ac:dyDescent="0.35">
      <c r="J26" s="3" t="s">
        <v>84</v>
      </c>
    </row>
    <row r="27" spans="10:15" x14ac:dyDescent="0.35">
      <c r="J27" s="10" t="str">
        <f>COUNTIF('02_Clean Data'!H2:H13,"&lt;&gt;OK")&amp;" of 12 months flagged (see 02_Clean Data column H)"</f>
        <v>0 of 12 months flagged (see 02_Clean Data column H)</v>
      </c>
    </row>
    <row r="29" spans="10:15" ht="15.5" x14ac:dyDescent="0.35">
      <c r="J29" s="3" t="s">
        <v>85</v>
      </c>
    </row>
    <row r="30" spans="10:15" ht="33.75" customHeight="1" x14ac:dyDescent="0.35">
      <c r="J30" s="24" t="str">
        <f>"Air travel drives "&amp;TEXT('05_KPIs'!B6,"0.0%")&amp;" of annual travel emissions despite being one of several modes tracked."</f>
        <v>Air travel drives 75.0% of annual travel emissions despite being one of several modes tracked.</v>
      </c>
      <c r="K30" s="24"/>
      <c r="L30" s="24"/>
      <c r="M30" s="24"/>
      <c r="N30" s="24"/>
      <c r="O30" s="24"/>
    </row>
    <row r="31" spans="10:15" ht="33.75" customHeight="1" x14ac:dyDescent="0.35">
      <c r="J31" s="25" t="s">
        <v>110</v>
      </c>
      <c r="K31" s="24"/>
      <c r="L31" s="24"/>
      <c r="M31" s="24"/>
      <c r="N31" s="24"/>
      <c r="O31" s="24"/>
    </row>
    <row r="32" spans="10:15" ht="33.75" customHeight="1" x14ac:dyDescent="0.35">
      <c r="J32" s="24" t="str">
        <f>"Hotel nights run "&amp;TEXT('05_KPIs'!B10,"0.00")&amp;" per traveller. close to 1:1, consistent with single-night-equivalent trips; a build-up would flag a reconciliation issue."</f>
        <v>Hotel nights run 0.98 per traveller. close to 1:1, consistent with single-night-equivalent trips; a build-up would flag a reconciliation issue.</v>
      </c>
      <c r="K32" s="24"/>
      <c r="L32" s="24"/>
      <c r="M32" s="24"/>
      <c r="N32" s="24"/>
      <c r="O32" s="24"/>
    </row>
    <row r="34" spans="1:8" ht="15.5" x14ac:dyDescent="0.35">
      <c r="A34" s="3" t="s">
        <v>86</v>
      </c>
    </row>
    <row r="35" spans="1:8" x14ac:dyDescent="0.35">
      <c r="A35" s="23" t="s">
        <v>87</v>
      </c>
      <c r="B35" s="23"/>
      <c r="C35" s="23"/>
      <c r="D35" s="23"/>
      <c r="E35" s="23"/>
      <c r="F35" s="23"/>
      <c r="G35" s="23"/>
      <c r="H35" s="23"/>
    </row>
    <row r="36" spans="1:8" x14ac:dyDescent="0.35">
      <c r="A36" s="22" t="s">
        <v>111</v>
      </c>
      <c r="B36" s="23"/>
      <c r="C36" s="23"/>
      <c r="D36" s="23"/>
      <c r="E36" s="23"/>
      <c r="F36" s="23"/>
      <c r="G36" s="23"/>
      <c r="H36" s="23"/>
    </row>
    <row r="37" spans="1:8" x14ac:dyDescent="0.35">
      <c r="A37" s="23" t="s">
        <v>88</v>
      </c>
      <c r="B37" s="23"/>
      <c r="C37" s="23"/>
      <c r="D37" s="23"/>
      <c r="E37" s="23"/>
      <c r="F37" s="23"/>
      <c r="G37" s="23"/>
      <c r="H37" s="23"/>
    </row>
  </sheetData>
  <mergeCells count="6">
    <mergeCell ref="A37:H37"/>
    <mergeCell ref="J30:O30"/>
    <mergeCell ref="J31:O31"/>
    <mergeCell ref="J32:O32"/>
    <mergeCell ref="A35:H35"/>
    <mergeCell ref="A36:H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zoomScaleNormal="100" workbookViewId="0"/>
  </sheetViews>
  <sheetFormatPr defaultColWidth="8.6328125" defaultRowHeight="14.5" x14ac:dyDescent="0.35"/>
  <cols>
    <col min="1" max="1" width="22" customWidth="1"/>
    <col min="2" max="3" width="34" customWidth="1"/>
    <col min="4" max="4" width="16" customWidth="1"/>
  </cols>
  <sheetData>
    <row r="1" spans="1:4" x14ac:dyDescent="0.35">
      <c r="A1" s="5" t="s">
        <v>89</v>
      </c>
      <c r="B1" s="5" t="s">
        <v>90</v>
      </c>
      <c r="C1" s="5" t="s">
        <v>91</v>
      </c>
      <c r="D1" s="5" t="s">
        <v>92</v>
      </c>
    </row>
    <row r="2" spans="1:4" x14ac:dyDescent="0.35">
      <c r="A2" s="8" t="s">
        <v>93</v>
      </c>
      <c r="B2" s="8" t="s">
        <v>94</v>
      </c>
      <c r="C2" s="8" t="s">
        <v>95</v>
      </c>
      <c r="D2" s="8" t="s">
        <v>96</v>
      </c>
    </row>
    <row r="3" spans="1:4" x14ac:dyDescent="0.35">
      <c r="A3" s="8" t="s">
        <v>97</v>
      </c>
      <c r="B3" s="8" t="s">
        <v>98</v>
      </c>
      <c r="C3" s="8" t="s">
        <v>99</v>
      </c>
      <c r="D3" s="8" t="s">
        <v>96</v>
      </c>
    </row>
    <row r="4" spans="1:4" x14ac:dyDescent="0.35">
      <c r="A4" s="8" t="s">
        <v>100</v>
      </c>
      <c r="B4" s="8" t="s">
        <v>101</v>
      </c>
      <c r="C4" s="8" t="s">
        <v>102</v>
      </c>
      <c r="D4" s="8" t="s">
        <v>96</v>
      </c>
    </row>
    <row r="5" spans="1:4" x14ac:dyDescent="0.35">
      <c r="A5" s="8" t="s">
        <v>103</v>
      </c>
      <c r="B5" s="8" t="s">
        <v>104</v>
      </c>
      <c r="C5" s="8" t="s">
        <v>105</v>
      </c>
      <c r="D5" s="8" t="s">
        <v>106</v>
      </c>
    </row>
    <row r="6" spans="1:4" x14ac:dyDescent="0.35">
      <c r="A6" s="8" t="s">
        <v>107</v>
      </c>
      <c r="B6" s="8" t="s">
        <v>108</v>
      </c>
      <c r="C6" s="8" t="s">
        <v>109</v>
      </c>
      <c r="D6" s="8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00_Client View</vt:lpstr>
      <vt:lpstr>01_Raw Data</vt:lpstr>
      <vt:lpstr>02_Clean Data</vt:lpstr>
      <vt:lpstr>03_Emission Factors</vt:lpstr>
      <vt:lpstr>04_Calculations</vt:lpstr>
      <vt:lpstr>05_KPIs</vt:lpstr>
      <vt:lpstr>06_Dashboard</vt:lpstr>
      <vt:lpstr>07_Client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Jumoke Oladejo</dc:creator>
  <dc:description/>
  <cp:lastModifiedBy>Jumoke Oladejo</cp:lastModifiedBy>
  <cp:revision>1</cp:revision>
  <dcterms:created xsi:type="dcterms:W3CDTF">2026-09-22T07:26:50Z</dcterms:created>
  <dcterms:modified xsi:type="dcterms:W3CDTF">2026-10-04T19:03:47Z</dcterms:modified>
  <dc:language>en-US</dc:language>
</cp:coreProperties>
</file>